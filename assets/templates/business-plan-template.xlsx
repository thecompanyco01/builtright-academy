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Projections" sheetId="2" state="visible" r:id="rId2"/>
    <sheet xmlns:r="http://schemas.openxmlformats.org/officeDocument/2006/relationships" name="Startup Costs" sheetId="3" state="visible" r:id="rId3"/>
    <sheet xmlns:r="http://schemas.openxmlformats.org/officeDocument/2006/relationships" name="Marketing Plan" sheetId="4" state="visible" r:id="rId4"/>
    <sheet xmlns:r="http://schemas.openxmlformats.org/officeDocument/2006/relationships" name="Operations" sheetId="5" state="visible" r:id="rId5"/>
  </sheets>
  <definedNames>
    <definedName name="_xlnm.Print_Area" localSheetId="0">'Executive Summary'!$A$1:$H$48</definedName>
    <definedName name="_xlnm.Print_Area" localSheetId="1">'Financial Projections'!$A$1:$N$50</definedName>
    <definedName name="_xlnm.Print_Area" localSheetId="2">'Startup Costs'!$A$1:$E$60</definedName>
    <definedName name="_xlnm.Print_Area" localSheetId="3">'Marketing Plan'!$A$1:$I$27</definedName>
    <definedName name="_xlnm.Print_Area" localSheetId="4">'Operations'!$A$1:$I$49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97316"/>
      <sz val="14"/>
    </font>
    <font>
      <name val="Calibri"/>
      <b val="1"/>
      <color rgb="00000000"/>
      <sz val="11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A1A2E"/>
      <sz val="11"/>
    </font>
    <font>
      <name val="Calibri"/>
      <b val="1"/>
      <color rgb="00F97316"/>
      <sz val="11"/>
    </font>
    <font>
      <name val="Calibri"/>
      <b val="1"/>
      <color rgb="001A1A2E"/>
      <sz val="12"/>
    </font>
    <font>
      <name val="Calibri"/>
      <b val="1"/>
      <color rgb="00FFFFFF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E8E8F0"/>
        <bgColor rgb="00E8E8F0"/>
      </patternFill>
    </fill>
    <fill>
      <patternFill patternType="solid">
        <fgColor rgb="00FFF3E0"/>
        <bgColor rgb="00FFF3E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7">
    <border>
      <left/>
      <right/>
      <top/>
      <bottom/>
      <diagonal/>
    </border>
    <border>
      <bottom style="medium">
        <color rgb="00F9731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right"/>
    </xf>
    <xf numFmtId="0" fontId="5" fillId="4" borderId="2" applyAlignment="1" pivotButton="0" quotePrefix="0" xfId="0">
      <alignment horizontal="left"/>
    </xf>
    <xf numFmtId="0" fontId="6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/>
    </xf>
    <xf numFmtId="3" fontId="7" fillId="3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4" fillId="4" borderId="2" applyAlignment="1" pivotButton="0" quotePrefix="0" xfId="0">
      <alignment horizontal="left"/>
    </xf>
    <xf numFmtId="3" fontId="7" fillId="4" borderId="2" applyAlignment="1" pivotButton="0" quotePrefix="0" xfId="0">
      <alignment horizontal="center"/>
    </xf>
    <xf numFmtId="3" fontId="8" fillId="3" borderId="2" applyAlignment="1" pivotButton="0" quotePrefix="0" xfId="0">
      <alignment horizontal="center"/>
    </xf>
    <xf numFmtId="164" fontId="7" fillId="4" borderId="2" applyAlignment="1" pivotButton="0" quotePrefix="0" xfId="0">
      <alignment horizontal="center"/>
    </xf>
    <xf numFmtId="0" fontId="5" fillId="3" borderId="2" applyAlignment="1" pivotButton="0" quotePrefix="0" xfId="0">
      <alignment horizontal="left"/>
    </xf>
    <xf numFmtId="0" fontId="9" fillId="3" borderId="2" applyAlignment="1" pivotButton="0" quotePrefix="0" xfId="0">
      <alignment horizontal="left"/>
    </xf>
    <xf numFmtId="0" fontId="7" fillId="3" borderId="2" pivotButton="0" quotePrefix="0" xfId="0"/>
    <xf numFmtId="0" fontId="7" fillId="4" borderId="2" applyAlignment="1" pivotButton="0" quotePrefix="0" xfId="0">
      <alignment horizontal="left"/>
    </xf>
    <xf numFmtId="3" fontId="8" fillId="4" borderId="2" applyAlignment="1" pivotButton="0" quotePrefix="0" xfId="0">
      <alignment horizontal="center"/>
    </xf>
    <xf numFmtId="0" fontId="7" fillId="3" borderId="2" applyAlignment="1" pivotButton="0" quotePrefix="0" xfId="0">
      <alignment horizontal="left"/>
    </xf>
    <xf numFmtId="0" fontId="8" fillId="5" borderId="2" applyAlignment="1" pivotButton="0" quotePrefix="0" xfId="0">
      <alignment horizontal="left"/>
    </xf>
    <xf numFmtId="3" fontId="8" fillId="5" borderId="2" applyAlignment="1" pivotButton="0" quotePrefix="0" xfId="0">
      <alignment horizontal="center"/>
    </xf>
    <xf numFmtId="0" fontId="10" fillId="6" borderId="2" applyAlignment="1" pivotButton="0" quotePrefix="0" xfId="0">
      <alignment horizontal="left"/>
    </xf>
    <xf numFmtId="3" fontId="10" fillId="6" borderId="2" applyAlignment="1" pivotButton="0" quotePrefix="0" xfId="0">
      <alignment horizontal="center"/>
    </xf>
    <xf numFmtId="0" fontId="8" fillId="3" borderId="2" applyAlignment="1" pivotButton="0" quotePrefix="0" xfId="0">
      <alignment horizontal="left"/>
    </xf>
    <xf numFmtId="164" fontId="8" fillId="3" borderId="2" applyAlignment="1" pivotButton="0" quotePrefix="0" xfId="0">
      <alignment horizontal="center"/>
    </xf>
    <xf numFmtId="0" fontId="8" fillId="6" borderId="2" applyAlignment="1" pivotButton="0" quotePrefix="0" xfId="0">
      <alignment horizontal="left"/>
    </xf>
    <xf numFmtId="165" fontId="8" fillId="4" borderId="2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8" fillId="5" borderId="2" applyAlignment="1" pivotButton="0" quotePrefix="0" xfId="0">
      <alignment horizontal="right"/>
    </xf>
    <xf numFmtId="0" fontId="7" fillId="5" borderId="2" pivotButton="0" quotePrefix="0" xfId="0"/>
    <xf numFmtId="0" fontId="11" fillId="2" borderId="2" applyAlignment="1" pivotButton="0" quotePrefix="0" xfId="0">
      <alignment horizontal="right" vertical="center"/>
    </xf>
    <xf numFmtId="3" fontId="11" fillId="2" borderId="2" applyAlignment="1" pivotButton="0" quotePrefix="0" xfId="0">
      <alignment horizontal="center" vertical="center"/>
    </xf>
    <xf numFmtId="0" fontId="7" fillId="2" borderId="2" pivotButton="0" quotePrefix="0" xfId="0"/>
    <xf numFmtId="0" fontId="7" fillId="4" borderId="2" applyAlignment="1" pivotButton="0" quotePrefix="0" xfId="0">
      <alignment horizontal="left" wrapText="1"/>
    </xf>
    <xf numFmtId="0" fontId="7" fillId="4" borderId="2" applyAlignment="1" pivotButton="0" quotePrefix="0" xfId="0">
      <alignment horizontal="center"/>
    </xf>
    <xf numFmtId="4" fontId="7" fillId="4" borderId="2" applyAlignment="1" pivotButton="0" quotePrefix="0" xfId="0">
      <alignment horizontal="center"/>
    </xf>
    <xf numFmtId="0" fontId="12" fillId="7" borderId="2" applyAlignment="1" pivotButton="0" quotePrefix="0" xfId="0">
      <alignment horizontal="center"/>
    </xf>
    <xf numFmtId="0" fontId="7" fillId="3" borderId="2" applyAlignment="1" pivotButton="0" quotePrefix="0" xfId="0">
      <alignment horizontal="left" wrapText="1"/>
    </xf>
    <xf numFmtId="0" fontId="7" fillId="3" borderId="2" applyAlignment="1" pivotButton="0" quotePrefix="0" xfId="0">
      <alignment horizontal="center"/>
    </xf>
    <xf numFmtId="4" fontId="7" fillId="3" borderId="2" applyAlignment="1" pivotButton="0" quotePrefix="0" xfId="0">
      <alignment horizontal="center"/>
    </xf>
    <xf numFmtId="0" fontId="12" fillId="3" borderId="2" applyAlignment="1" pivotButton="0" quotePrefix="0" xfId="0">
      <alignment horizontal="center"/>
    </xf>
    <xf numFmtId="0" fontId="12" fillId="4" borderId="2" applyAlignment="1" pivotButton="0" quotePrefix="0" xfId="0">
      <alignment horizontal="center"/>
    </xf>
    <xf numFmtId="0" fontId="12" fillId="8" borderId="2" applyAlignment="1" pivotButton="0" quotePrefix="0" xfId="0">
      <alignment horizontal="center"/>
    </xf>
    <xf numFmtId="4" fontId="8" fillId="5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7" fillId="7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CONTRACTOR BUSINESS PLAN</t>
        </is>
      </c>
    </row>
    <row r="2">
      <c r="A2" s="2" t="inlineStr">
        <is>
          <t>Confidential Business Document</t>
        </is>
      </c>
    </row>
    <row r="3"/>
    <row r="4" ht="28" customHeight="1">
      <c r="A4" s="3" t="inlineStr">
        <is>
          <t>◆ COMPANY OVERVIEW</t>
        </is>
      </c>
      <c r="B4" s="4" t="n"/>
      <c r="C4" s="4" t="n"/>
      <c r="D4" s="4" t="n"/>
      <c r="E4" s="4" t="n"/>
      <c r="F4" s="4" t="n"/>
      <c r="G4" s="4" t="n"/>
      <c r="H4" s="4" t="n"/>
    </row>
    <row r="5"/>
    <row r="6">
      <c r="A6" s="5" t="inlineStr">
        <is>
          <t>Company Name:</t>
        </is>
      </c>
      <c r="C6" s="6" t="inlineStr">
        <is>
          <t>[Enter Company Name]</t>
        </is>
      </c>
    </row>
    <row r="7">
      <c r="A7" s="5" t="inlineStr">
        <is>
          <t>Owner / Principal:</t>
        </is>
      </c>
      <c r="C7" s="6" t="inlineStr">
        <is>
          <t>[Enter Name]</t>
        </is>
      </c>
    </row>
    <row r="8">
      <c r="A8" s="5" t="inlineStr">
        <is>
          <t>Business Structure:</t>
        </is>
      </c>
      <c r="C8" s="6" t="inlineStr">
        <is>
          <t>[LLC / S-Corp / Sole Proprietor]</t>
        </is>
      </c>
    </row>
    <row r="9">
      <c r="A9" s="5" t="inlineStr">
        <is>
          <t>Date Established:</t>
        </is>
      </c>
      <c r="C9" s="6" t="inlineStr">
        <is>
          <t>[MM/YYYY]</t>
        </is>
      </c>
    </row>
    <row r="10">
      <c r="A10" s="5" t="inlineStr">
        <is>
          <t>EIN / Tax ID:</t>
        </is>
      </c>
      <c r="C10" s="6" t="inlineStr">
        <is>
          <t>[XX-XXXXXXX]</t>
        </is>
      </c>
    </row>
    <row r="11">
      <c r="A11" s="5" t="inlineStr">
        <is>
          <t>State License #:</t>
        </is>
      </c>
      <c r="C11" s="6" t="inlineStr">
        <is>
          <t>[Enter License Number]</t>
        </is>
      </c>
    </row>
    <row r="12">
      <c r="A12" s="5" t="inlineStr">
        <is>
          <t>Address:</t>
        </is>
      </c>
      <c r="C12" s="6" t="inlineStr">
        <is>
          <t>[Street, City, State, ZIP]</t>
        </is>
      </c>
    </row>
    <row r="13">
      <c r="A13" s="5" t="inlineStr">
        <is>
          <t>Phone / Email:</t>
        </is>
      </c>
      <c r="C13" s="6" t="inlineStr">
        <is>
          <t>[Phone] / [Email]</t>
        </is>
      </c>
    </row>
    <row r="14"/>
    <row r="15" ht="28" customHeight="1">
      <c r="A15" s="3" t="inlineStr">
        <is>
          <t>◆ MISSION STATEMENT</t>
        </is>
      </c>
      <c r="B15" s="4" t="n"/>
      <c r="C15" s="4" t="n"/>
      <c r="D15" s="4" t="n"/>
      <c r="E15" s="4" t="n"/>
      <c r="F15" s="4" t="n"/>
      <c r="G15" s="4" t="n"/>
      <c r="H15" s="4" t="n"/>
    </row>
    <row r="16" ht="50" customHeight="1">
      <c r="A16" s="7" t="inlineStr">
        <is>
          <t>[Write a clear, compelling mission statement that defines your purpose, values, and commitment to clients. Example: 'To deliver exceptional residential construction services with uncompromising quality, transparent communication, and on-time completion — building lasting relationships one project at a time.']</t>
        </is>
      </c>
    </row>
    <row r="17"/>
    <row r="18"/>
    <row r="19"/>
    <row r="20" ht="28" customHeight="1">
      <c r="A20" s="3" t="inlineStr">
        <is>
          <t>◆ SERVICES OFFERED</t>
        </is>
      </c>
      <c r="B20" s="4" t="n"/>
      <c r="C20" s="4" t="n"/>
      <c r="D20" s="4" t="n"/>
      <c r="E20" s="4" t="n"/>
      <c r="F20" s="4" t="n"/>
      <c r="G20" s="4" t="n"/>
      <c r="H20" s="4" t="n"/>
    </row>
    <row r="21"/>
    <row r="22">
      <c r="A22" s="8" t="inlineStr">
        <is>
          <t>Primary Service 1:</t>
        </is>
      </c>
      <c r="C22" s="9" t="inlineStr">
        <is>
          <t>[Describe service and typical project size]</t>
        </is>
      </c>
    </row>
    <row r="23">
      <c r="A23" s="8" t="inlineStr">
        <is>
          <t>Primary Service 2:</t>
        </is>
      </c>
      <c r="C23" s="9" t="inlineStr">
        <is>
          <t>[Describe service and typical project size]</t>
        </is>
      </c>
    </row>
    <row r="24">
      <c r="A24" s="8" t="inlineStr">
        <is>
          <t>Primary Service 3:</t>
        </is>
      </c>
      <c r="C24" s="9" t="inlineStr">
        <is>
          <t>[Describe service and typical project size]</t>
        </is>
      </c>
    </row>
    <row r="25">
      <c r="A25" s="8" t="inlineStr">
        <is>
          <t>Secondary Service 1:</t>
        </is>
      </c>
      <c r="C25" s="9" t="inlineStr">
        <is>
          <t>[Describe service and typical project size]</t>
        </is>
      </c>
    </row>
    <row r="26">
      <c r="A26" s="8" t="inlineStr">
        <is>
          <t>Secondary Service 2:</t>
        </is>
      </c>
      <c r="C26" s="9" t="inlineStr">
        <is>
          <t>[Describe service and typical project size]</t>
        </is>
      </c>
    </row>
    <row r="27"/>
    <row r="28" ht="28" customHeight="1">
      <c r="A28" s="3" t="inlineStr">
        <is>
          <t>◆ TARGET MARKET</t>
        </is>
      </c>
      <c r="B28" s="4" t="n"/>
      <c r="C28" s="4" t="n"/>
      <c r="D28" s="4" t="n"/>
      <c r="E28" s="4" t="n"/>
      <c r="F28" s="4" t="n"/>
      <c r="G28" s="4" t="n"/>
      <c r="H28" s="4" t="n"/>
    </row>
    <row r="29"/>
    <row r="30">
      <c r="A30" s="8" t="inlineStr">
        <is>
          <t>Customer Type:</t>
        </is>
      </c>
      <c r="C30" s="9" t="inlineStr">
        <is>
          <t>[Residential / Commercial / Both]</t>
        </is>
      </c>
    </row>
    <row r="31">
      <c r="A31" s="8" t="inlineStr">
        <is>
          <t>Geographic Area:</t>
        </is>
      </c>
      <c r="C31" s="9" t="inlineStr">
        <is>
          <t>[City, County, or Region]</t>
        </is>
      </c>
    </row>
    <row r="32">
      <c r="A32" s="8" t="inlineStr">
        <is>
          <t>Ideal Client Profile:</t>
        </is>
      </c>
      <c r="C32" s="9" t="inlineStr">
        <is>
          <t>[Income level, property type, project type]</t>
        </is>
      </c>
    </row>
    <row r="33">
      <c r="A33" s="8" t="inlineStr">
        <is>
          <t>Market Size Estimate:</t>
        </is>
      </c>
      <c r="C33" s="9" t="inlineStr">
        <is>
          <t>[$X million in annual construction spending]</t>
        </is>
      </c>
    </row>
    <row r="34"/>
    <row r="35" ht="28" customHeight="1">
      <c r="A35" s="3" t="inlineStr">
        <is>
          <t>◆ COMPETITIVE ADVANTAGE</t>
        </is>
      </c>
      <c r="B35" s="4" t="n"/>
      <c r="C35" s="4" t="n"/>
      <c r="D35" s="4" t="n"/>
      <c r="E35" s="4" t="n"/>
      <c r="F35" s="4" t="n"/>
      <c r="G35" s="4" t="n"/>
      <c r="H35" s="4" t="n"/>
    </row>
    <row r="36"/>
    <row r="37">
      <c r="A37" s="8" t="inlineStr">
        <is>
          <t>Advantage 1:</t>
        </is>
      </c>
      <c r="C37" s="9" t="inlineStr">
        <is>
          <t>[What makes you different from competitors?]</t>
        </is>
      </c>
    </row>
    <row r="38">
      <c r="A38" s="8" t="inlineStr">
        <is>
          <t>Advantage 2:</t>
        </is>
      </c>
      <c r="C38" s="9" t="inlineStr">
        <is>
          <t>[What makes you different from competitors?]</t>
        </is>
      </c>
    </row>
    <row r="39">
      <c r="A39" s="8" t="inlineStr">
        <is>
          <t>Advantage 3:</t>
        </is>
      </c>
      <c r="C39" s="9" t="inlineStr">
        <is>
          <t>[What makes you different from competitors?]</t>
        </is>
      </c>
    </row>
    <row r="40"/>
    <row r="41" ht="28" customHeight="1">
      <c r="A41" s="3" t="inlineStr">
        <is>
          <t>◆ FINANCIAL PROJECTIONS SUMMARY</t>
        </is>
      </c>
      <c r="B41" s="4" t="n"/>
      <c r="C41" s="4" t="n"/>
      <c r="D41" s="4" t="n"/>
      <c r="E41" s="4" t="n"/>
      <c r="F41" s="4" t="n"/>
      <c r="G41" s="4" t="n"/>
      <c r="H41" s="4" t="n"/>
    </row>
    <row r="42" ht="24" customHeight="1">
      <c r="A42" s="10" t="inlineStr">
        <is>
          <t>Metric</t>
        </is>
      </c>
      <c r="B42" s="10" t="inlineStr">
        <is>
          <t>Year 1</t>
        </is>
      </c>
      <c r="C42" s="10" t="inlineStr">
        <is>
          <t>Year 2</t>
        </is>
      </c>
      <c r="D42" s="10" t="inlineStr">
        <is>
          <t>Year 3</t>
        </is>
      </c>
    </row>
    <row r="43">
      <c r="A43" s="11" t="inlineStr">
        <is>
          <t>Total Revenue</t>
        </is>
      </c>
      <c r="B43" s="12">
        <f>'Financial Projections'!B36</f>
        <v/>
      </c>
      <c r="C43" s="12">
        <f>'Financial Projections'!C36</f>
        <v/>
      </c>
      <c r="D43" s="12">
        <f>'Financial Projections'!D36</f>
        <v/>
      </c>
      <c r="E43" s="13" t="n"/>
      <c r="F43" s="13" t="n"/>
      <c r="G43" s="13" t="n"/>
      <c r="H43" s="14" t="n"/>
    </row>
    <row r="44">
      <c r="A44" s="15" t="inlineStr">
        <is>
          <t>Total Expenses</t>
        </is>
      </c>
      <c r="B44" s="16">
        <f>'Financial Projections'!B37</f>
        <v/>
      </c>
      <c r="C44" s="16">
        <f>'Financial Projections'!C37</f>
        <v/>
      </c>
      <c r="D44" s="16">
        <f>'Financial Projections'!D37</f>
        <v/>
      </c>
      <c r="E44" s="13" t="n"/>
      <c r="F44" s="13" t="n"/>
      <c r="G44" s="13" t="n"/>
      <c r="H44" s="14" t="n"/>
    </row>
    <row r="45">
      <c r="A45" s="11" t="inlineStr">
        <is>
          <t>Net Profit</t>
        </is>
      </c>
      <c r="B45" s="17">
        <f>'Financial Projections'!B38</f>
        <v/>
      </c>
      <c r="C45" s="17">
        <f>'Financial Projections'!C38</f>
        <v/>
      </c>
      <c r="D45" s="17">
        <f>'Financial Projections'!D38</f>
        <v/>
      </c>
      <c r="E45" s="13" t="n"/>
      <c r="F45" s="13" t="n"/>
      <c r="G45" s="13" t="n"/>
      <c r="H45" s="14" t="n"/>
    </row>
    <row r="46">
      <c r="A46" s="15" t="inlineStr">
        <is>
          <t>Profit Margin</t>
        </is>
      </c>
      <c r="B46" s="18">
        <f>'Financial Projections'!B39</f>
        <v/>
      </c>
      <c r="C46" s="18">
        <f>'Financial Projections'!C39</f>
        <v/>
      </c>
      <c r="D46" s="18">
        <f>'Financial Projections'!D39</f>
        <v/>
      </c>
      <c r="E46" s="13" t="n"/>
      <c r="F46" s="13" t="n"/>
      <c r="G46" s="13" t="n"/>
      <c r="H46" s="14" t="n"/>
    </row>
  </sheetData>
  <mergeCells count="53">
    <mergeCell ref="C25:H25"/>
    <mergeCell ref="C10:H10"/>
    <mergeCell ref="A24:B24"/>
    <mergeCell ref="A30:B30"/>
    <mergeCell ref="A15:H15"/>
    <mergeCell ref="C22:H22"/>
    <mergeCell ref="A11:B11"/>
    <mergeCell ref="C9:H9"/>
    <mergeCell ref="C31:H31"/>
    <mergeCell ref="A1:H1"/>
    <mergeCell ref="C12:H12"/>
    <mergeCell ref="D46:H46"/>
    <mergeCell ref="A6:B6"/>
    <mergeCell ref="D45:H45"/>
    <mergeCell ref="C11:H11"/>
    <mergeCell ref="A7:B7"/>
    <mergeCell ref="A25:B25"/>
    <mergeCell ref="C23:H23"/>
    <mergeCell ref="A37:B37"/>
    <mergeCell ref="C39:H39"/>
    <mergeCell ref="C8:H8"/>
    <mergeCell ref="A41:H41"/>
    <mergeCell ref="C7:H7"/>
    <mergeCell ref="A12:B12"/>
    <mergeCell ref="A26:B26"/>
    <mergeCell ref="A16:H18"/>
    <mergeCell ref="C32:H32"/>
    <mergeCell ref="C38:H38"/>
    <mergeCell ref="D43:H43"/>
    <mergeCell ref="C13:H13"/>
    <mergeCell ref="A2:H2"/>
    <mergeCell ref="A33:B33"/>
    <mergeCell ref="C37:H37"/>
    <mergeCell ref="A32:B32"/>
    <mergeCell ref="A23:B23"/>
    <mergeCell ref="A8:B8"/>
    <mergeCell ref="C30:H30"/>
    <mergeCell ref="A22:B22"/>
    <mergeCell ref="C33:H33"/>
    <mergeCell ref="A4:H4"/>
    <mergeCell ref="C6:H6"/>
    <mergeCell ref="C24:H24"/>
    <mergeCell ref="A38:B38"/>
    <mergeCell ref="A35:H35"/>
    <mergeCell ref="A20:H20"/>
    <mergeCell ref="A10:B10"/>
    <mergeCell ref="A28:H28"/>
    <mergeCell ref="A13:B13"/>
    <mergeCell ref="C26:H26"/>
    <mergeCell ref="A9:B9"/>
    <mergeCell ref="A31:B31"/>
    <mergeCell ref="A39:B39"/>
    <mergeCell ref="D44:H44"/>
  </mergeCells>
  <pageMargins left="0.5" right="0.5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P4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40" customHeight="1">
      <c r="A1" s="1" t="inlineStr">
        <is>
          <t>3-YEAR FINANCIAL PROJECTIONS</t>
        </is>
      </c>
    </row>
    <row r="3" ht="28" customHeight="1">
      <c r="A3" s="3" t="inlineStr">
        <is>
          <t>◆ REVENUE ASSUMPTIONS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4" customHeight="1">
      <c r="A4" s="10" t="inlineStr">
        <is>
          <t>Assumption</t>
        </is>
      </c>
      <c r="B4" s="10" t="inlineStr">
        <is>
          <t>Value</t>
        </is>
      </c>
      <c r="C4" s="10" t="inlineStr">
        <is>
          <t>Notes</t>
        </is>
      </c>
    </row>
    <row r="5">
      <c r="A5" s="15" t="inlineStr">
        <is>
          <t>Avg. Project Value</t>
        </is>
      </c>
      <c r="B5" s="16" t="n">
        <v>15000</v>
      </c>
      <c r="C5" s="9" t="inlineStr">
        <is>
          <t>Typical contract size</t>
        </is>
      </c>
    </row>
    <row r="6">
      <c r="A6" s="11" t="inlineStr">
        <is>
          <t>Projects per Month (Year 1)</t>
        </is>
      </c>
      <c r="B6" s="12" t="n">
        <v>3</v>
      </c>
      <c r="C6" s="19" t="inlineStr">
        <is>
          <t>Ramp-up period</t>
        </is>
      </c>
    </row>
    <row r="7">
      <c r="A7" s="15" t="inlineStr">
        <is>
          <t>Projects per Month (Year 2)</t>
        </is>
      </c>
      <c r="B7" s="16" t="n">
        <v>5</v>
      </c>
      <c r="C7" s="9" t="inlineStr">
        <is>
          <t>Established pipeline</t>
        </is>
      </c>
    </row>
    <row r="8">
      <c r="A8" s="11" t="inlineStr">
        <is>
          <t>Projects per Month (Year 3)</t>
        </is>
      </c>
      <c r="B8" s="12" t="n">
        <v>7</v>
      </c>
      <c r="C8" s="19" t="inlineStr">
        <is>
          <t>Growth phase</t>
        </is>
      </c>
    </row>
    <row r="9">
      <c r="A9" s="15" t="inlineStr">
        <is>
          <t>Avg. Markup %</t>
        </is>
      </c>
      <c r="B9" s="18" t="n">
        <v>0.35</v>
      </c>
      <c r="C9" s="9" t="inlineStr">
        <is>
          <t>On cost of work</t>
        </is>
      </c>
    </row>
    <row r="10">
      <c r="A10" s="11" t="inlineStr">
        <is>
          <t>Service Call Revenue/Mo</t>
        </is>
      </c>
      <c r="B10" s="12" t="n">
        <v>2000</v>
      </c>
      <c r="C10" s="19" t="inlineStr">
        <is>
          <t>Smaller repair jobs</t>
        </is>
      </c>
    </row>
    <row r="12" ht="28" customHeight="1">
      <c r="A12" s="3" t="inlineStr">
        <is>
          <t>◆ YEAR 1 — MONTHLY PROFIT &amp; LOSS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24" customHeight="1">
      <c r="A13" s="10" t="inlineStr">
        <is>
          <t>Category</t>
        </is>
      </c>
      <c r="B13" s="10" t="inlineStr">
        <is>
          <t>Jan</t>
        </is>
      </c>
      <c r="C13" s="10" t="inlineStr">
        <is>
          <t>Feb</t>
        </is>
      </c>
      <c r="D13" s="10" t="inlineStr">
        <is>
          <t>Mar</t>
        </is>
      </c>
      <c r="E13" s="10" t="inlineStr">
        <is>
          <t>Apr</t>
        </is>
      </c>
      <c r="F13" s="10" t="inlineStr">
        <is>
          <t>May</t>
        </is>
      </c>
      <c r="G13" s="10" t="inlineStr">
        <is>
          <t>Jun</t>
        </is>
      </c>
      <c r="H13" s="10" t="inlineStr">
        <is>
          <t>Jul</t>
        </is>
      </c>
      <c r="I13" s="10" t="inlineStr">
        <is>
          <t>Aug</t>
        </is>
      </c>
      <c r="J13" s="10" t="inlineStr">
        <is>
          <t>Sep</t>
        </is>
      </c>
      <c r="K13" s="10" t="inlineStr">
        <is>
          <t>Oct</t>
        </is>
      </c>
      <c r="L13" s="10" t="inlineStr">
        <is>
          <t>Nov</t>
        </is>
      </c>
      <c r="M13" s="10" t="inlineStr">
        <is>
          <t>Dec</t>
        </is>
      </c>
      <c r="N13" s="10" t="inlineStr">
        <is>
          <t>TOTAL</t>
        </is>
      </c>
    </row>
    <row r="14">
      <c r="A14" s="20" t="inlineStr">
        <is>
          <t>REVENUE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>
      <c r="A15" s="22" t="inlineStr">
        <is>
          <t xml:space="preserve">  Project Revenue</t>
        </is>
      </c>
      <c r="B15" s="16" t="n">
        <v>25000</v>
      </c>
      <c r="C15" s="16" t="n">
        <v>30000</v>
      </c>
      <c r="D15" s="16" t="n">
        <v>35000</v>
      </c>
      <c r="E15" s="16" t="n">
        <v>40000</v>
      </c>
      <c r="F15" s="16" t="n">
        <v>45000</v>
      </c>
      <c r="G15" s="16" t="n">
        <v>50000</v>
      </c>
      <c r="H15" s="16" t="n">
        <v>50000</v>
      </c>
      <c r="I15" s="16" t="n">
        <v>55000</v>
      </c>
      <c r="J15" s="16" t="n">
        <v>55000</v>
      </c>
      <c r="K15" s="16" t="n">
        <v>50000</v>
      </c>
      <c r="L15" s="16" t="n">
        <v>45000</v>
      </c>
      <c r="M15" s="16" t="n">
        <v>40000</v>
      </c>
      <c r="N15" s="23">
        <f>SUM(B15:M15)</f>
        <v/>
      </c>
    </row>
    <row r="16">
      <c r="A16" s="24" t="inlineStr">
        <is>
          <t xml:space="preserve">  Service Call Revenue</t>
        </is>
      </c>
      <c r="B16" s="12" t="n">
        <v>1500</v>
      </c>
      <c r="C16" s="12" t="n">
        <v>1500</v>
      </c>
      <c r="D16" s="12" t="n">
        <v>2000</v>
      </c>
      <c r="E16" s="12" t="n">
        <v>2000</v>
      </c>
      <c r="F16" s="12" t="n">
        <v>2500</v>
      </c>
      <c r="G16" s="12" t="n">
        <v>2500</v>
      </c>
      <c r="H16" s="12" t="n">
        <v>2500</v>
      </c>
      <c r="I16" s="12" t="n">
        <v>3000</v>
      </c>
      <c r="J16" s="12" t="n">
        <v>3000</v>
      </c>
      <c r="K16" s="12" t="n">
        <v>2500</v>
      </c>
      <c r="L16" s="12" t="n">
        <v>2000</v>
      </c>
      <c r="M16" s="12" t="n">
        <v>1500</v>
      </c>
      <c r="N16" s="17">
        <f>SUM(B16:M16)</f>
        <v/>
      </c>
    </row>
    <row r="17">
      <c r="A17" s="22" t="inlineStr">
        <is>
          <t xml:space="preserve">  Other Revenue</t>
        </is>
      </c>
      <c r="B17" s="16" t="n">
        <v>0</v>
      </c>
      <c r="C17" s="16" t="n">
        <v>0</v>
      </c>
      <c r="D17" s="16" t="n">
        <v>500</v>
      </c>
      <c r="E17" s="16" t="n">
        <v>500</v>
      </c>
      <c r="F17" s="16" t="n">
        <v>500</v>
      </c>
      <c r="G17" s="16" t="n">
        <v>1000</v>
      </c>
      <c r="H17" s="16" t="n">
        <v>1000</v>
      </c>
      <c r="I17" s="16" t="n">
        <v>1000</v>
      </c>
      <c r="J17" s="16" t="n">
        <v>1000</v>
      </c>
      <c r="K17" s="16" t="n">
        <v>500</v>
      </c>
      <c r="L17" s="16" t="n">
        <v>500</v>
      </c>
      <c r="M17" s="16" t="n">
        <v>0</v>
      </c>
      <c r="N17" s="23">
        <f>SUM(B17:M17)</f>
        <v/>
      </c>
    </row>
    <row r="18">
      <c r="A18" s="25" t="inlineStr">
        <is>
          <t>TOTAL REVENUE</t>
        </is>
      </c>
      <c r="B18" s="26">
        <f>SUM(B15:B17)</f>
        <v/>
      </c>
      <c r="C18" s="26">
        <f>SUM(C15:C17)</f>
        <v/>
      </c>
      <c r="D18" s="26">
        <f>SUM(D15:D17)</f>
        <v/>
      </c>
      <c r="E18" s="26">
        <f>SUM(E15:E17)</f>
        <v/>
      </c>
      <c r="F18" s="26">
        <f>SUM(F15:F17)</f>
        <v/>
      </c>
      <c r="G18" s="26">
        <f>SUM(G15:G17)</f>
        <v/>
      </c>
      <c r="H18" s="26">
        <f>SUM(H15:H17)</f>
        <v/>
      </c>
      <c r="I18" s="26">
        <f>SUM(I15:I17)</f>
        <v/>
      </c>
      <c r="J18" s="26">
        <f>SUM(J15:J17)</f>
        <v/>
      </c>
      <c r="K18" s="26">
        <f>SUM(K15:K17)</f>
        <v/>
      </c>
      <c r="L18" s="26">
        <f>SUM(L15:L17)</f>
        <v/>
      </c>
      <c r="M18" s="26">
        <f>SUM(M15:M17)</f>
        <v/>
      </c>
      <c r="N18" s="26">
        <f>SUM(N15:N17)</f>
        <v/>
      </c>
    </row>
    <row r="19">
      <c r="A19" s="20" t="inlineStr">
        <is>
          <t>EXPENSES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  <row r="20">
      <c r="A20" s="22" t="inlineStr">
        <is>
          <t xml:space="preserve">  Cost of Goods Sold (Materials)</t>
        </is>
      </c>
      <c r="B20" s="16" t="n">
        <v>8000</v>
      </c>
      <c r="C20" s="16" t="n">
        <v>9500</v>
      </c>
      <c r="D20" s="16" t="n">
        <v>11000</v>
      </c>
      <c r="E20" s="16" t="n">
        <v>12500</v>
      </c>
      <c r="F20" s="16" t="n">
        <v>14000</v>
      </c>
      <c r="G20" s="16" t="n">
        <v>16000</v>
      </c>
      <c r="H20" s="16" t="n">
        <v>16000</v>
      </c>
      <c r="I20" s="16" t="n">
        <v>17500</v>
      </c>
      <c r="J20" s="16" t="n">
        <v>17500</v>
      </c>
      <c r="K20" s="16" t="n">
        <v>16000</v>
      </c>
      <c r="L20" s="16" t="n">
        <v>14000</v>
      </c>
      <c r="M20" s="16" t="n">
        <v>12500</v>
      </c>
      <c r="N20" s="23">
        <f>SUM(B20:M20)</f>
        <v/>
      </c>
    </row>
    <row r="21">
      <c r="A21" s="24" t="inlineStr">
        <is>
          <t xml:space="preserve">  Labor (Crew)</t>
        </is>
      </c>
      <c r="B21" s="12" t="n">
        <v>6000</v>
      </c>
      <c r="C21" s="12" t="n">
        <v>6000</v>
      </c>
      <c r="D21" s="12" t="n">
        <v>7500</v>
      </c>
      <c r="E21" s="12" t="n">
        <v>7500</v>
      </c>
      <c r="F21" s="12" t="n">
        <v>9000</v>
      </c>
      <c r="G21" s="12" t="n">
        <v>9000</v>
      </c>
      <c r="H21" s="12" t="n">
        <v>9000</v>
      </c>
      <c r="I21" s="12" t="n">
        <v>10500</v>
      </c>
      <c r="J21" s="12" t="n">
        <v>10500</v>
      </c>
      <c r="K21" s="12" t="n">
        <v>9000</v>
      </c>
      <c r="L21" s="12" t="n">
        <v>7500</v>
      </c>
      <c r="M21" s="12" t="n">
        <v>6000</v>
      </c>
      <c r="N21" s="17">
        <f>SUM(B21:M21)</f>
        <v/>
      </c>
    </row>
    <row r="22">
      <c r="A22" s="22" t="inlineStr">
        <is>
          <t xml:space="preserve">  Subcontractors</t>
        </is>
      </c>
      <c r="B22" s="16" t="n">
        <v>2000</v>
      </c>
      <c r="C22" s="16" t="n">
        <v>2500</v>
      </c>
      <c r="D22" s="16" t="n">
        <v>3000</v>
      </c>
      <c r="E22" s="16" t="n">
        <v>3500</v>
      </c>
      <c r="F22" s="16" t="n">
        <v>4000</v>
      </c>
      <c r="G22" s="16" t="n">
        <v>4500</v>
      </c>
      <c r="H22" s="16" t="n">
        <v>4500</v>
      </c>
      <c r="I22" s="16" t="n">
        <v>5000</v>
      </c>
      <c r="J22" s="16" t="n">
        <v>5000</v>
      </c>
      <c r="K22" s="16" t="n">
        <v>4000</v>
      </c>
      <c r="L22" s="16" t="n">
        <v>3000</v>
      </c>
      <c r="M22" s="16" t="n">
        <v>2000</v>
      </c>
      <c r="N22" s="23">
        <f>SUM(B22:M22)</f>
        <v/>
      </c>
    </row>
    <row r="23">
      <c r="A23" s="24" t="inlineStr">
        <is>
          <t xml:space="preserve">  Vehicle Expenses</t>
        </is>
      </c>
      <c r="B23" s="12" t="n">
        <v>800</v>
      </c>
      <c r="C23" s="12" t="n">
        <v>800</v>
      </c>
      <c r="D23" s="12" t="n">
        <v>800</v>
      </c>
      <c r="E23" s="12" t="n">
        <v>800</v>
      </c>
      <c r="F23" s="12" t="n">
        <v>800</v>
      </c>
      <c r="G23" s="12" t="n">
        <v>800</v>
      </c>
      <c r="H23" s="12" t="n">
        <v>800</v>
      </c>
      <c r="I23" s="12" t="n">
        <v>800</v>
      </c>
      <c r="J23" s="12" t="n">
        <v>800</v>
      </c>
      <c r="K23" s="12" t="n">
        <v>800</v>
      </c>
      <c r="L23" s="12" t="n">
        <v>800</v>
      </c>
      <c r="M23" s="12" t="n">
        <v>800</v>
      </c>
      <c r="N23" s="17">
        <f>SUM(B23:M23)</f>
        <v/>
      </c>
    </row>
    <row r="24">
      <c r="A24" s="22" t="inlineStr">
        <is>
          <t xml:space="preserve">  Insurance</t>
        </is>
      </c>
      <c r="B24" s="16" t="n">
        <v>500</v>
      </c>
      <c r="C24" s="16" t="n">
        <v>500</v>
      </c>
      <c r="D24" s="16" t="n">
        <v>500</v>
      </c>
      <c r="E24" s="16" t="n">
        <v>500</v>
      </c>
      <c r="F24" s="16" t="n">
        <v>500</v>
      </c>
      <c r="G24" s="16" t="n">
        <v>500</v>
      </c>
      <c r="H24" s="16" t="n">
        <v>500</v>
      </c>
      <c r="I24" s="16" t="n">
        <v>500</v>
      </c>
      <c r="J24" s="16" t="n">
        <v>500</v>
      </c>
      <c r="K24" s="16" t="n">
        <v>500</v>
      </c>
      <c r="L24" s="16" t="n">
        <v>500</v>
      </c>
      <c r="M24" s="16" t="n">
        <v>500</v>
      </c>
      <c r="N24" s="23">
        <f>SUM(B24:M24)</f>
        <v/>
      </c>
    </row>
    <row r="25">
      <c r="A25" s="24" t="inlineStr">
        <is>
          <t xml:space="preserve">  Marketing &amp; Advertising</t>
        </is>
      </c>
      <c r="B25" s="12" t="n">
        <v>1500</v>
      </c>
      <c r="C25" s="12" t="n">
        <v>1500</v>
      </c>
      <c r="D25" s="12" t="n">
        <v>1200</v>
      </c>
      <c r="E25" s="12" t="n">
        <v>1200</v>
      </c>
      <c r="F25" s="12" t="n">
        <v>1000</v>
      </c>
      <c r="G25" s="12" t="n">
        <v>1000</v>
      </c>
      <c r="H25" s="12" t="n">
        <v>1000</v>
      </c>
      <c r="I25" s="12" t="n">
        <v>800</v>
      </c>
      <c r="J25" s="12" t="n">
        <v>800</v>
      </c>
      <c r="K25" s="12" t="n">
        <v>1000</v>
      </c>
      <c r="L25" s="12" t="n">
        <v>1200</v>
      </c>
      <c r="M25" s="12" t="n">
        <v>1500</v>
      </c>
      <c r="N25" s="17">
        <f>SUM(B25:M25)</f>
        <v/>
      </c>
    </row>
    <row r="26">
      <c r="A26" s="22" t="inlineStr">
        <is>
          <t xml:space="preserve">  Office &amp; Admin</t>
        </is>
      </c>
      <c r="B26" s="16" t="n">
        <v>400</v>
      </c>
      <c r="C26" s="16" t="n">
        <v>400</v>
      </c>
      <c r="D26" s="16" t="n">
        <v>400</v>
      </c>
      <c r="E26" s="16" t="n">
        <v>400</v>
      </c>
      <c r="F26" s="16" t="n">
        <v>400</v>
      </c>
      <c r="G26" s="16" t="n">
        <v>400</v>
      </c>
      <c r="H26" s="16" t="n">
        <v>400</v>
      </c>
      <c r="I26" s="16" t="n">
        <v>400</v>
      </c>
      <c r="J26" s="16" t="n">
        <v>400</v>
      </c>
      <c r="K26" s="16" t="n">
        <v>400</v>
      </c>
      <c r="L26" s="16" t="n">
        <v>400</v>
      </c>
      <c r="M26" s="16" t="n">
        <v>400</v>
      </c>
      <c r="N26" s="23">
        <f>SUM(B26:M26)</f>
        <v/>
      </c>
    </row>
    <row r="27">
      <c r="A27" s="24" t="inlineStr">
        <is>
          <t xml:space="preserve">  Tools &amp; Equipment</t>
        </is>
      </c>
      <c r="B27" s="12" t="n">
        <v>500</v>
      </c>
      <c r="C27" s="12" t="n">
        <v>300</v>
      </c>
      <c r="D27" s="12" t="n">
        <v>300</v>
      </c>
      <c r="E27" s="12" t="n">
        <v>200</v>
      </c>
      <c r="F27" s="12" t="n">
        <v>200</v>
      </c>
      <c r="G27" s="12" t="n">
        <v>200</v>
      </c>
      <c r="H27" s="12" t="n">
        <v>200</v>
      </c>
      <c r="I27" s="12" t="n">
        <v>200</v>
      </c>
      <c r="J27" s="12" t="n">
        <v>200</v>
      </c>
      <c r="K27" s="12" t="n">
        <v>200</v>
      </c>
      <c r="L27" s="12" t="n">
        <v>300</v>
      </c>
      <c r="M27" s="12" t="n">
        <v>300</v>
      </c>
      <c r="N27" s="17">
        <f>SUM(B27:M27)</f>
        <v/>
      </c>
    </row>
    <row r="28">
      <c r="A28" s="22" t="inlineStr">
        <is>
          <t xml:space="preserve">  Licenses &amp; Permits</t>
        </is>
      </c>
      <c r="B28" s="16" t="n">
        <v>200</v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200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200</v>
      </c>
      <c r="N28" s="23">
        <f>SUM(B28:M28)</f>
        <v/>
      </c>
    </row>
    <row r="29">
      <c r="A29" s="24" t="inlineStr">
        <is>
          <t xml:space="preserve">  Professional Services</t>
        </is>
      </c>
      <c r="B29" s="12" t="n">
        <v>300</v>
      </c>
      <c r="C29" s="12" t="n">
        <v>300</v>
      </c>
      <c r="D29" s="12" t="n">
        <v>300</v>
      </c>
      <c r="E29" s="12" t="n">
        <v>300</v>
      </c>
      <c r="F29" s="12" t="n">
        <v>300</v>
      </c>
      <c r="G29" s="12" t="n">
        <v>300</v>
      </c>
      <c r="H29" s="12" t="n">
        <v>300</v>
      </c>
      <c r="I29" s="12" t="n">
        <v>300</v>
      </c>
      <c r="J29" s="12" t="n">
        <v>300</v>
      </c>
      <c r="K29" s="12" t="n">
        <v>300</v>
      </c>
      <c r="L29" s="12" t="n">
        <v>300</v>
      </c>
      <c r="M29" s="12" t="n">
        <v>300</v>
      </c>
      <c r="N29" s="17">
        <f>SUM(B29:M29)</f>
        <v/>
      </c>
    </row>
    <row r="30">
      <c r="A30" s="25" t="inlineStr">
        <is>
          <t>TOTAL EXPENSES</t>
        </is>
      </c>
      <c r="B30" s="26">
        <f>SUM(B20:B29)</f>
        <v/>
      </c>
      <c r="C30" s="26">
        <f>SUM(C20:C29)</f>
        <v/>
      </c>
      <c r="D30" s="26">
        <f>SUM(D20:D29)</f>
        <v/>
      </c>
      <c r="E30" s="26">
        <f>SUM(E20:E29)</f>
        <v/>
      </c>
      <c r="F30" s="26">
        <f>SUM(F20:F29)</f>
        <v/>
      </c>
      <c r="G30" s="26">
        <f>SUM(G20:G29)</f>
        <v/>
      </c>
      <c r="H30" s="26">
        <f>SUM(H20:H29)</f>
        <v/>
      </c>
      <c r="I30" s="26">
        <f>SUM(I20:I29)</f>
        <v/>
      </c>
      <c r="J30" s="26">
        <f>SUM(J20:J29)</f>
        <v/>
      </c>
      <c r="K30" s="26">
        <f>SUM(K20:K29)</f>
        <v/>
      </c>
      <c r="L30" s="26">
        <f>SUM(L20:L29)</f>
        <v/>
      </c>
      <c r="M30" s="26">
        <f>SUM(M20:M29)</f>
        <v/>
      </c>
      <c r="N30" s="26">
        <f>SUM(N20:N29)</f>
        <v/>
      </c>
    </row>
    <row r="31">
      <c r="A31" s="27" t="inlineStr">
        <is>
          <t>NET PROFIT / (LOSS)</t>
        </is>
      </c>
      <c r="B31" s="28">
        <f>B18-B30</f>
        <v/>
      </c>
      <c r="C31" s="28">
        <f>C18-C30</f>
        <v/>
      </c>
      <c r="D31" s="28">
        <f>D18-D30</f>
        <v/>
      </c>
      <c r="E31" s="28">
        <f>E18-E30</f>
        <v/>
      </c>
      <c r="F31" s="28">
        <f>F18-F30</f>
        <v/>
      </c>
      <c r="G31" s="28">
        <f>G18-G30</f>
        <v/>
      </c>
      <c r="H31" s="28">
        <f>H18-H30</f>
        <v/>
      </c>
      <c r="I31" s="28">
        <f>I18-I30</f>
        <v/>
      </c>
      <c r="J31" s="28">
        <f>J18-J30</f>
        <v/>
      </c>
      <c r="K31" s="28">
        <f>K18-K30</f>
        <v/>
      </c>
      <c r="L31" s="28">
        <f>L18-L30</f>
        <v/>
      </c>
      <c r="M31" s="28">
        <f>M18-M30</f>
        <v/>
      </c>
      <c r="N31" s="28">
        <f>N18-N30</f>
        <v/>
      </c>
    </row>
    <row r="32">
      <c r="A32" s="29" t="inlineStr">
        <is>
          <t>PROFIT MARGIN</t>
        </is>
      </c>
      <c r="B32" s="30">
        <f>IF(B18=0,0,B31/B18)</f>
        <v/>
      </c>
      <c r="C32" s="30">
        <f>IF(C18=0,0,C31/C18)</f>
        <v/>
      </c>
      <c r="D32" s="30">
        <f>IF(D18=0,0,D31/D18)</f>
        <v/>
      </c>
      <c r="E32" s="30">
        <f>IF(E18=0,0,E31/E18)</f>
        <v/>
      </c>
      <c r="F32" s="30">
        <f>IF(F18=0,0,F31/F18)</f>
        <v/>
      </c>
      <c r="G32" s="30">
        <f>IF(G18=0,0,G31/G18)</f>
        <v/>
      </c>
      <c r="H32" s="30">
        <f>IF(H18=0,0,H31/H18)</f>
        <v/>
      </c>
      <c r="I32" s="30">
        <f>IF(I18=0,0,I31/I18)</f>
        <v/>
      </c>
      <c r="J32" s="30">
        <f>IF(J18=0,0,J31/J18)</f>
        <v/>
      </c>
      <c r="K32" s="30">
        <f>IF(K18=0,0,K31/K18)</f>
        <v/>
      </c>
      <c r="L32" s="30">
        <f>IF(L18=0,0,L31/L18)</f>
        <v/>
      </c>
      <c r="M32" s="30">
        <f>IF(M18=0,0,M31/M18)</f>
        <v/>
      </c>
      <c r="N32" s="30">
        <f>IF(N18=0,0,N31/N18)</f>
        <v/>
      </c>
    </row>
    <row r="34" ht="28" customHeight="1">
      <c r="A34" s="3" t="inlineStr">
        <is>
          <t>◆ 3-YEAR ANNUAL SUMMARY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4" customHeight="1">
      <c r="A35" s="10" t="inlineStr">
        <is>
          <t>Category</t>
        </is>
      </c>
      <c r="B35" s="10" t="inlineStr">
        <is>
          <t>Year 1</t>
        </is>
      </c>
      <c r="C35" s="10" t="inlineStr">
        <is>
          <t>Year 2</t>
        </is>
      </c>
      <c r="D35" s="10" t="inlineStr">
        <is>
          <t>Year 3</t>
        </is>
      </c>
    </row>
    <row r="36">
      <c r="A36" s="15" t="inlineStr">
        <is>
          <t>Total Revenue</t>
        </is>
      </c>
      <c r="B36" s="16">
        <f>N18</f>
        <v/>
      </c>
      <c r="C36" s="16">
        <f>N18*1.4</f>
        <v/>
      </c>
      <c r="D36" s="16">
        <f>N18*1.9</f>
        <v/>
      </c>
    </row>
    <row r="37">
      <c r="A37" s="11" t="inlineStr">
        <is>
          <t>Total Expenses</t>
        </is>
      </c>
      <c r="B37" s="12">
        <f>N30</f>
        <v/>
      </c>
      <c r="C37" s="12">
        <f>N30*1.25</f>
        <v/>
      </c>
      <c r="D37" s="12">
        <f>N30*1.5</f>
        <v/>
      </c>
    </row>
    <row r="38">
      <c r="A38" s="31" t="inlineStr">
        <is>
          <t>Net Profit</t>
        </is>
      </c>
      <c r="B38" s="28">
        <f>B36-B37</f>
        <v/>
      </c>
      <c r="C38" s="28">
        <f>C36-C37</f>
        <v/>
      </c>
      <c r="D38" s="28">
        <f>D36-D37</f>
        <v/>
      </c>
    </row>
    <row r="39">
      <c r="A39" s="29" t="inlineStr">
        <is>
          <t>Profit Margin</t>
        </is>
      </c>
      <c r="B39" s="30">
        <f>IF(B36=0,0,B38/B36)</f>
        <v/>
      </c>
      <c r="C39" s="30">
        <f>IF(C36=0,0,C38/C36)</f>
        <v/>
      </c>
      <c r="D39" s="30">
        <f>IF(D36=0,0,D38/D36)</f>
        <v/>
      </c>
    </row>
    <row r="41" ht="28" customHeight="1">
      <c r="A41" s="3" t="inlineStr">
        <is>
          <t>◆ BREAK-EVEN ANALYSIS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3">
      <c r="A43" s="15" t="inlineStr">
        <is>
          <t>Monthly Fixed Costs</t>
        </is>
      </c>
      <c r="B43" s="16" t="n">
        <v>5000</v>
      </c>
      <c r="C43" s="9" t="inlineStr">
        <is>
          <t>[Sum of fixed monthly expenses]</t>
        </is>
      </c>
    </row>
    <row r="44">
      <c r="A44" s="11" t="inlineStr">
        <is>
          <t>Avg. Revenue per Project</t>
        </is>
      </c>
      <c r="B44" s="12" t="n">
        <v>15000</v>
      </c>
      <c r="C44" s="19" t="inlineStr">
        <is>
          <t>[From assumptions above]</t>
        </is>
      </c>
    </row>
    <row r="45">
      <c r="A45" s="15" t="inlineStr">
        <is>
          <t>Avg. Variable Cost per Project</t>
        </is>
      </c>
      <c r="B45" s="16" t="n">
        <v>9500</v>
      </c>
      <c r="C45" s="9" t="inlineStr">
        <is>
          <t>[Materials + labor + subs per project]</t>
        </is>
      </c>
    </row>
    <row r="46">
      <c r="A46" s="11" t="inlineStr">
        <is>
          <t>Contribution Margin per Project</t>
        </is>
      </c>
      <c r="B46" s="17">
        <f>B44-B45</f>
        <v/>
      </c>
      <c r="C46" s="19" t="inlineStr">
        <is>
          <t>[Revenue - Variable Cost]</t>
        </is>
      </c>
    </row>
    <row r="47">
      <c r="A47" s="15" t="inlineStr">
        <is>
          <t>Break-Even Projects/Month</t>
        </is>
      </c>
      <c r="B47" s="32">
        <f>IF(B46=0,0,B43/B46)</f>
        <v/>
      </c>
      <c r="C47" s="9" t="inlineStr">
        <is>
          <t>[Fixed Costs ÷ Contribution Margin]</t>
        </is>
      </c>
    </row>
    <row r="48">
      <c r="A48" s="11" t="inlineStr">
        <is>
          <t>Break-Even Revenue/Month</t>
        </is>
      </c>
      <c r="B48" s="17">
        <f>B47*B44</f>
        <v/>
      </c>
      <c r="C48" s="19" t="inlineStr">
        <is>
          <t>[Projects × Revenue per Project]</t>
        </is>
      </c>
    </row>
  </sheetData>
  <mergeCells count="17">
    <mergeCell ref="A41:P41"/>
    <mergeCell ref="C44:E44"/>
    <mergeCell ref="C5:E5"/>
    <mergeCell ref="A1:P1"/>
    <mergeCell ref="C45:E45"/>
    <mergeCell ref="C46:E46"/>
    <mergeCell ref="C47:E47"/>
    <mergeCell ref="C8:E8"/>
    <mergeCell ref="C9:E9"/>
    <mergeCell ref="A34:P34"/>
    <mergeCell ref="A12:P12"/>
    <mergeCell ref="C48:E48"/>
    <mergeCell ref="A3:P3"/>
    <mergeCell ref="C7:E7"/>
    <mergeCell ref="C43:E43"/>
    <mergeCell ref="C6:E6"/>
    <mergeCell ref="C10:E10"/>
  </mergeCells>
  <pageMargins left="0.5" right="0.5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E5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 ht="40" customHeight="1">
      <c r="A1" s="1" t="inlineStr">
        <is>
          <t>STARTUP COST CHECKLIST</t>
        </is>
      </c>
    </row>
    <row r="3" ht="24" customHeight="1">
      <c r="A3" s="10" t="inlineStr">
        <is>
          <t>Item</t>
        </is>
      </c>
      <c r="B3" s="10" t="inlineStr">
        <is>
          <t>Estimated Cost</t>
        </is>
      </c>
      <c r="C3" s="10" t="inlineStr">
        <is>
          <t>Actual Cost</t>
        </is>
      </c>
      <c r="D3" s="10" t="inlineStr">
        <is>
          <t>Variance</t>
        </is>
      </c>
      <c r="E3" s="10" t="inlineStr">
        <is>
          <t>Notes</t>
        </is>
      </c>
    </row>
    <row r="4">
      <c r="A4" s="33" t="inlineStr">
        <is>
          <t>◆ TOOLS &amp; EQUIPMENT</t>
        </is>
      </c>
    </row>
    <row r="5">
      <c r="A5" s="22" t="inlineStr">
        <is>
          <t xml:space="preserve">  Power Tools (drills, saws, etc.)</t>
        </is>
      </c>
      <c r="B5" s="16" t="n">
        <v>3000</v>
      </c>
      <c r="C5" s="16" t="n"/>
      <c r="D5" s="16">
        <f>C5-B5</f>
        <v/>
      </c>
      <c r="E5" s="9" t="n"/>
    </row>
    <row r="6">
      <c r="A6" s="24" t="inlineStr">
        <is>
          <t xml:space="preserve">  Hand Tools</t>
        </is>
      </c>
      <c r="B6" s="12" t="n">
        <v>1500</v>
      </c>
      <c r="C6" s="12" t="n"/>
      <c r="D6" s="12">
        <f>C6-B6</f>
        <v/>
      </c>
      <c r="E6" s="19" t="n"/>
    </row>
    <row r="7">
      <c r="A7" s="22" t="inlineStr">
        <is>
          <t xml:space="preserve">  Ladders &amp; Scaffolding</t>
        </is>
      </c>
      <c r="B7" s="16" t="n">
        <v>1200</v>
      </c>
      <c r="C7" s="16" t="n"/>
      <c r="D7" s="16">
        <f>C7-B7</f>
        <v/>
      </c>
      <c r="E7" s="9" t="n"/>
    </row>
    <row r="8">
      <c r="A8" s="24" t="inlineStr">
        <is>
          <t xml:space="preserve">  Safety Equipment (PPE)</t>
        </is>
      </c>
      <c r="B8" s="12" t="n">
        <v>800</v>
      </c>
      <c r="C8" s="12" t="n"/>
      <c r="D8" s="12">
        <f>C8-B8</f>
        <v/>
      </c>
      <c r="E8" s="19" t="n"/>
    </row>
    <row r="9">
      <c r="A9" s="22" t="inlineStr">
        <is>
          <t xml:space="preserve">  Specialty Tools</t>
        </is>
      </c>
      <c r="B9" s="16" t="n">
        <v>2000</v>
      </c>
      <c r="C9" s="16" t="n"/>
      <c r="D9" s="16">
        <f>C9-B9</f>
        <v/>
      </c>
      <c r="E9" s="9" t="n"/>
    </row>
    <row r="10">
      <c r="A10" s="24" t="inlineStr">
        <is>
          <t xml:space="preserve">  Tool Storage / Trailer</t>
        </is>
      </c>
      <c r="B10" s="12" t="n">
        <v>3500</v>
      </c>
      <c r="C10" s="12" t="n"/>
      <c r="D10" s="12">
        <f>C10-B10</f>
        <v/>
      </c>
      <c r="E10" s="19" t="n"/>
    </row>
    <row r="11">
      <c r="A11" s="34" t="inlineStr">
        <is>
          <t xml:space="preserve">  Subtotal</t>
        </is>
      </c>
      <c r="B11" s="26">
        <f>SUM(B5:B10)</f>
        <v/>
      </c>
      <c r="C11" s="26">
        <f>SUM(C5:C10)</f>
        <v/>
      </c>
      <c r="D11" s="26">
        <f>SUM(D5:D10)</f>
        <v/>
      </c>
      <c r="E11" s="35" t="n"/>
    </row>
    <row r="12">
      <c r="A12" s="33" t="inlineStr">
        <is>
          <t>◆ VEHICLES</t>
        </is>
      </c>
    </row>
    <row r="13">
      <c r="A13" s="22" t="inlineStr">
        <is>
          <t xml:space="preserve">  Work Truck / Van</t>
        </is>
      </c>
      <c r="B13" s="16" t="n">
        <v>35000</v>
      </c>
      <c r="C13" s="16" t="n"/>
      <c r="D13" s="16">
        <f>C13-B13</f>
        <v/>
      </c>
      <c r="E13" s="9" t="n"/>
    </row>
    <row r="14">
      <c r="A14" s="24" t="inlineStr">
        <is>
          <t xml:space="preserve">  Vehicle Wrap / Signage</t>
        </is>
      </c>
      <c r="B14" s="12" t="n">
        <v>2500</v>
      </c>
      <c r="C14" s="12" t="n"/>
      <c r="D14" s="12">
        <f>C14-B14</f>
        <v/>
      </c>
      <c r="E14" s="19" t="n"/>
    </row>
    <row r="15">
      <c r="A15" s="22" t="inlineStr">
        <is>
          <t xml:space="preserve">  Trailer</t>
        </is>
      </c>
      <c r="B15" s="16" t="n">
        <v>5000</v>
      </c>
      <c r="C15" s="16" t="n"/>
      <c r="D15" s="16">
        <f>C15-B15</f>
        <v/>
      </c>
      <c r="E15" s="9" t="n"/>
    </row>
    <row r="16">
      <c r="A16" s="24" t="inlineStr">
        <is>
          <t xml:space="preserve">  GPS / Fleet Tracking</t>
        </is>
      </c>
      <c r="B16" s="12" t="n">
        <v>500</v>
      </c>
      <c r="C16" s="12" t="n"/>
      <c r="D16" s="12">
        <f>C16-B16</f>
        <v/>
      </c>
      <c r="E16" s="19" t="n"/>
    </row>
    <row r="17">
      <c r="A17" s="34" t="inlineStr">
        <is>
          <t xml:space="preserve">  Subtotal</t>
        </is>
      </c>
      <c r="B17" s="26">
        <f>SUM(B13:B16)</f>
        <v/>
      </c>
      <c r="C17" s="26">
        <f>SUM(C13:C16)</f>
        <v/>
      </c>
      <c r="D17" s="26">
        <f>SUM(D13:D16)</f>
        <v/>
      </c>
      <c r="E17" s="35" t="n"/>
    </row>
    <row r="18">
      <c r="A18" s="33" t="inlineStr">
        <is>
          <t>◆ INSURANCE</t>
        </is>
      </c>
    </row>
    <row r="19">
      <c r="A19" s="22" t="inlineStr">
        <is>
          <t xml:space="preserve">  General Liability Insurance</t>
        </is>
      </c>
      <c r="B19" s="16" t="n">
        <v>2500</v>
      </c>
      <c r="C19" s="16" t="n"/>
      <c r="D19" s="16">
        <f>C19-B19</f>
        <v/>
      </c>
      <c r="E19" s="9" t="n"/>
    </row>
    <row r="20">
      <c r="A20" s="24" t="inlineStr">
        <is>
          <t xml:space="preserve">  Workers' Compensation</t>
        </is>
      </c>
      <c r="B20" s="12" t="n">
        <v>3000</v>
      </c>
      <c r="C20" s="12" t="n"/>
      <c r="D20" s="12">
        <f>C20-B20</f>
        <v/>
      </c>
      <c r="E20" s="19" t="n"/>
    </row>
    <row r="21">
      <c r="A21" s="22" t="inlineStr">
        <is>
          <t xml:space="preserve">  Commercial Auto Insurance</t>
        </is>
      </c>
      <c r="B21" s="16" t="n">
        <v>2000</v>
      </c>
      <c r="C21" s="16" t="n"/>
      <c r="D21" s="16">
        <f>C21-B21</f>
        <v/>
      </c>
      <c r="E21" s="9" t="n"/>
    </row>
    <row r="22">
      <c r="A22" s="24" t="inlineStr">
        <is>
          <t xml:space="preserve">  Professional Liability (E&amp;O)</t>
        </is>
      </c>
      <c r="B22" s="12" t="n">
        <v>1500</v>
      </c>
      <c r="C22" s="12" t="n"/>
      <c r="D22" s="12">
        <f>C22-B22</f>
        <v/>
      </c>
      <c r="E22" s="19" t="n"/>
    </row>
    <row r="23">
      <c r="A23" s="22" t="inlineStr">
        <is>
          <t xml:space="preserve">  Builders Risk / Inland Marine</t>
        </is>
      </c>
      <c r="B23" s="16" t="n">
        <v>1200</v>
      </c>
      <c r="C23" s="16" t="n"/>
      <c r="D23" s="16">
        <f>C23-B23</f>
        <v/>
      </c>
      <c r="E23" s="9" t="n"/>
    </row>
    <row r="24">
      <c r="A24" s="24" t="inlineStr">
        <is>
          <t xml:space="preserve">  Umbrella Policy</t>
        </is>
      </c>
      <c r="B24" s="12" t="n">
        <v>800</v>
      </c>
      <c r="C24" s="12" t="n"/>
      <c r="D24" s="12">
        <f>C24-B24</f>
        <v/>
      </c>
      <c r="E24" s="19" t="n"/>
    </row>
    <row r="25">
      <c r="A25" s="34" t="inlineStr">
        <is>
          <t xml:space="preserve">  Subtotal</t>
        </is>
      </c>
      <c r="B25" s="26">
        <f>SUM(B19:B24)</f>
        <v/>
      </c>
      <c r="C25" s="26">
        <f>SUM(C19:C24)</f>
        <v/>
      </c>
      <c r="D25" s="26">
        <f>SUM(D19:D24)</f>
        <v/>
      </c>
      <c r="E25" s="35" t="n"/>
    </row>
    <row r="26">
      <c r="A26" s="33" t="inlineStr">
        <is>
          <t>◆ LICENSING &amp; PERMITS</t>
        </is>
      </c>
    </row>
    <row r="27">
      <c r="A27" s="22" t="inlineStr">
        <is>
          <t xml:space="preserve">  State Contractor License</t>
        </is>
      </c>
      <c r="B27" s="16" t="n">
        <v>500</v>
      </c>
      <c r="C27" s="16" t="n"/>
      <c r="D27" s="16">
        <f>C27-B27</f>
        <v/>
      </c>
      <c r="E27" s="9" t="n"/>
    </row>
    <row r="28">
      <c r="A28" s="24" t="inlineStr">
        <is>
          <t xml:space="preserve">  Local Business License</t>
        </is>
      </c>
      <c r="B28" s="12" t="n">
        <v>200</v>
      </c>
      <c r="C28" s="12" t="n"/>
      <c r="D28" s="12">
        <f>C28-B28</f>
        <v/>
      </c>
      <c r="E28" s="19" t="n"/>
    </row>
    <row r="29">
      <c r="A29" s="22" t="inlineStr">
        <is>
          <t xml:space="preserve">  Trade Certifications</t>
        </is>
      </c>
      <c r="B29" s="16" t="n">
        <v>1000</v>
      </c>
      <c r="C29" s="16" t="n"/>
      <c r="D29" s="16">
        <f>C29-B29</f>
        <v/>
      </c>
      <c r="E29" s="9" t="n"/>
    </row>
    <row r="30">
      <c r="A30" s="24" t="inlineStr">
        <is>
          <t xml:space="preserve">  Bond (if required)</t>
        </is>
      </c>
      <c r="B30" s="12" t="n">
        <v>1500</v>
      </c>
      <c r="C30" s="12" t="n"/>
      <c r="D30" s="12">
        <f>C30-B30</f>
        <v/>
      </c>
      <c r="E30" s="19" t="n"/>
    </row>
    <row r="31">
      <c r="A31" s="22" t="inlineStr">
        <is>
          <t xml:space="preserve">  EPA / Environmental Permits</t>
        </is>
      </c>
      <c r="B31" s="16" t="n">
        <v>300</v>
      </c>
      <c r="C31" s="16" t="n"/>
      <c r="D31" s="16">
        <f>C31-B31</f>
        <v/>
      </c>
      <c r="E31" s="9" t="n"/>
    </row>
    <row r="32">
      <c r="A32" s="34" t="inlineStr">
        <is>
          <t xml:space="preserve">  Subtotal</t>
        </is>
      </c>
      <c r="B32" s="26">
        <f>SUM(B27:B31)</f>
        <v/>
      </c>
      <c r="C32" s="26">
        <f>SUM(C27:C31)</f>
        <v/>
      </c>
      <c r="D32" s="26">
        <f>SUM(D27:D31)</f>
        <v/>
      </c>
      <c r="E32" s="35" t="n"/>
    </row>
    <row r="33">
      <c r="A33" s="33" t="inlineStr">
        <is>
          <t>◆ MARKETING &amp; BRANDING</t>
        </is>
      </c>
    </row>
    <row r="34">
      <c r="A34" s="22" t="inlineStr">
        <is>
          <t xml:space="preserve">  Logo &amp; Brand Design</t>
        </is>
      </c>
      <c r="B34" s="16" t="n">
        <v>1500</v>
      </c>
      <c r="C34" s="16" t="n"/>
      <c r="D34" s="16">
        <f>C34-B34</f>
        <v/>
      </c>
      <c r="E34" s="9" t="n"/>
    </row>
    <row r="35">
      <c r="A35" s="24" t="inlineStr">
        <is>
          <t xml:space="preserve">  Website Development</t>
        </is>
      </c>
      <c r="B35" s="12" t="n">
        <v>3000</v>
      </c>
      <c r="C35" s="12" t="n"/>
      <c r="D35" s="12">
        <f>C35-B35</f>
        <v/>
      </c>
      <c r="E35" s="19" t="n"/>
    </row>
    <row r="36">
      <c r="A36" s="22" t="inlineStr">
        <is>
          <t xml:space="preserve">  Business Cards &amp; Print</t>
        </is>
      </c>
      <c r="B36" s="16" t="n">
        <v>500</v>
      </c>
      <c r="C36" s="16" t="n"/>
      <c r="D36" s="16">
        <f>C36-B36</f>
        <v/>
      </c>
      <c r="E36" s="9" t="n"/>
    </row>
    <row r="37">
      <c r="A37" s="24" t="inlineStr">
        <is>
          <t xml:space="preserve">  Online Advertising (initial)</t>
        </is>
      </c>
      <c r="B37" s="12" t="n">
        <v>2000</v>
      </c>
      <c r="C37" s="12" t="n"/>
      <c r="D37" s="12">
        <f>C37-B37</f>
        <v/>
      </c>
      <c r="E37" s="19" t="n"/>
    </row>
    <row r="38">
      <c r="A38" s="22" t="inlineStr">
        <is>
          <t xml:space="preserve">  Yard Signs / Job Site Signs</t>
        </is>
      </c>
      <c r="B38" s="16" t="n">
        <v>600</v>
      </c>
      <c r="C38" s="16" t="n"/>
      <c r="D38" s="16">
        <f>C38-B38</f>
        <v/>
      </c>
      <c r="E38" s="9" t="n"/>
    </row>
    <row r="39">
      <c r="A39" s="24" t="inlineStr">
        <is>
          <t xml:space="preserve">  Social Media Setup</t>
        </is>
      </c>
      <c r="B39" s="12" t="n">
        <v>500</v>
      </c>
      <c r="C39" s="12" t="n"/>
      <c r="D39" s="12">
        <f>C39-B39</f>
        <v/>
      </c>
      <c r="E39" s="19" t="n"/>
    </row>
    <row r="40">
      <c r="A40" s="22" t="inlineStr">
        <is>
          <t xml:space="preserve">  Google Business Profile Setup</t>
        </is>
      </c>
      <c r="B40" s="16" t="n">
        <v>0</v>
      </c>
      <c r="C40" s="16" t="n"/>
      <c r="D40" s="16">
        <f>C40-B40</f>
        <v/>
      </c>
      <c r="E40" s="9" t="n"/>
    </row>
    <row r="41">
      <c r="A41" s="34" t="inlineStr">
        <is>
          <t xml:space="preserve">  Subtotal</t>
        </is>
      </c>
      <c r="B41" s="26">
        <f>SUM(B34:B40)</f>
        <v/>
      </c>
      <c r="C41" s="26">
        <f>SUM(C34:C40)</f>
        <v/>
      </c>
      <c r="D41" s="26">
        <f>SUM(D34:D40)</f>
        <v/>
      </c>
      <c r="E41" s="35" t="n"/>
    </row>
    <row r="42">
      <c r="A42" s="33" t="inlineStr">
        <is>
          <t>◆ OFFICE &amp; ADMINISTRATION</t>
        </is>
      </c>
    </row>
    <row r="43">
      <c r="A43" s="22" t="inlineStr">
        <is>
          <t xml:space="preserve">  Office Space (first/last month)</t>
        </is>
      </c>
      <c r="B43" s="16" t="n">
        <v>3000</v>
      </c>
      <c r="C43" s="16" t="n"/>
      <c r="D43" s="16">
        <f>C43-B43</f>
        <v/>
      </c>
      <c r="E43" s="9" t="n"/>
    </row>
    <row r="44">
      <c r="A44" s="24" t="inlineStr">
        <is>
          <t xml:space="preserve">  Computer &amp; Software</t>
        </is>
      </c>
      <c r="B44" s="12" t="n">
        <v>2000</v>
      </c>
      <c r="C44" s="12" t="n"/>
      <c r="D44" s="12">
        <f>C44-B44</f>
        <v/>
      </c>
      <c r="E44" s="19" t="n"/>
    </row>
    <row r="45">
      <c r="A45" s="22" t="inlineStr">
        <is>
          <t xml:space="preserve">  Accounting Software</t>
        </is>
      </c>
      <c r="B45" s="16" t="n">
        <v>500</v>
      </c>
      <c r="C45" s="16" t="n"/>
      <c r="D45" s="16">
        <f>C45-B45</f>
        <v/>
      </c>
      <c r="E45" s="9" t="n"/>
    </row>
    <row r="46">
      <c r="A46" s="24" t="inlineStr">
        <is>
          <t xml:space="preserve">  Project Management Software</t>
        </is>
      </c>
      <c r="B46" s="12" t="n">
        <v>600</v>
      </c>
      <c r="C46" s="12" t="n"/>
      <c r="D46" s="12">
        <f>C46-B46</f>
        <v/>
      </c>
      <c r="E46" s="19" t="n"/>
    </row>
    <row r="47">
      <c r="A47" s="22" t="inlineStr">
        <is>
          <t xml:space="preserve">  Phone System</t>
        </is>
      </c>
      <c r="B47" s="16" t="n">
        <v>300</v>
      </c>
      <c r="C47" s="16" t="n"/>
      <c r="D47" s="16">
        <f>C47-B47</f>
        <v/>
      </c>
      <c r="E47" s="9" t="n"/>
    </row>
    <row r="48">
      <c r="A48" s="24" t="inlineStr">
        <is>
          <t xml:space="preserve">  Office Supplies</t>
        </is>
      </c>
      <c r="B48" s="12" t="n">
        <v>500</v>
      </c>
      <c r="C48" s="12" t="n"/>
      <c r="D48" s="12">
        <f>C48-B48</f>
        <v/>
      </c>
      <c r="E48" s="19" t="n"/>
    </row>
    <row r="49">
      <c r="A49" s="22" t="inlineStr">
        <is>
          <t xml:space="preserve">  Legal Fees (entity formation)</t>
        </is>
      </c>
      <c r="B49" s="16" t="n">
        <v>1500</v>
      </c>
      <c r="C49" s="16" t="n"/>
      <c r="D49" s="16">
        <f>C49-B49</f>
        <v/>
      </c>
      <c r="E49" s="9" t="n"/>
    </row>
    <row r="50">
      <c r="A50" s="24" t="inlineStr">
        <is>
          <t xml:space="preserve">  Accounting Setup</t>
        </is>
      </c>
      <c r="B50" s="12" t="n">
        <v>1000</v>
      </c>
      <c r="C50" s="12" t="n"/>
      <c r="D50" s="12">
        <f>C50-B50</f>
        <v/>
      </c>
      <c r="E50" s="19" t="n"/>
    </row>
    <row r="51">
      <c r="A51" s="34" t="inlineStr">
        <is>
          <t xml:space="preserve">  Subtotal</t>
        </is>
      </c>
      <c r="B51" s="26">
        <f>SUM(B43:B50)</f>
        <v/>
      </c>
      <c r="C51" s="26">
        <f>SUM(C43:C50)</f>
        <v/>
      </c>
      <c r="D51" s="26">
        <f>SUM(D43:D50)</f>
        <v/>
      </c>
      <c r="E51" s="35" t="n"/>
    </row>
    <row r="52">
      <c r="A52" s="33" t="inlineStr">
        <is>
          <t>◆ WORKING CAPITAL</t>
        </is>
      </c>
    </row>
    <row r="53">
      <c r="A53" s="22" t="inlineStr">
        <is>
          <t xml:space="preserve">  Materials Float (first projects)</t>
        </is>
      </c>
      <c r="B53" s="16" t="n">
        <v>10000</v>
      </c>
      <c r="C53" s="16" t="n"/>
      <c r="D53" s="16">
        <f>C53-B53</f>
        <v/>
      </c>
      <c r="E53" s="9" t="n"/>
    </row>
    <row r="54">
      <c r="A54" s="24" t="inlineStr">
        <is>
          <t xml:space="preserve">  Payroll Reserve (2 months)</t>
        </is>
      </c>
      <c r="B54" s="12" t="n">
        <v>15000</v>
      </c>
      <c r="C54" s="12" t="n"/>
      <c r="D54" s="12">
        <f>C54-B54</f>
        <v/>
      </c>
      <c r="E54" s="19" t="n"/>
    </row>
    <row r="55">
      <c r="A55" s="22" t="inlineStr">
        <is>
          <t xml:space="preserve">  Emergency Fund</t>
        </is>
      </c>
      <c r="B55" s="16" t="n">
        <v>5000</v>
      </c>
      <c r="C55" s="16" t="n"/>
      <c r="D55" s="16">
        <f>C55-B55</f>
        <v/>
      </c>
      <c r="E55" s="9" t="n"/>
    </row>
    <row r="56">
      <c r="A56" s="34" t="inlineStr">
        <is>
          <t xml:space="preserve">  Subtotal</t>
        </is>
      </c>
      <c r="B56" s="26">
        <f>SUM(B53:B55)</f>
        <v/>
      </c>
      <c r="C56" s="26">
        <f>SUM(C53:C55)</f>
        <v/>
      </c>
      <c r="D56" s="26">
        <f>SUM(D53:D55)</f>
        <v/>
      </c>
      <c r="E56" s="35" t="n"/>
    </row>
    <row r="58" ht="30" customHeight="1">
      <c r="A58" s="36" t="inlineStr">
        <is>
          <t>GRAND TOTAL</t>
        </is>
      </c>
      <c r="B58" s="37">
        <f>B11+B17+B25+B32+B41+B51+B56</f>
        <v/>
      </c>
      <c r="C58" s="37">
        <f>C11+C17+C25+C32+C41+C51+C56</f>
        <v/>
      </c>
      <c r="D58" s="37">
        <f>D11+D17+D25+D32+D41+D51+D56</f>
        <v/>
      </c>
      <c r="E58" s="38" t="n"/>
    </row>
  </sheetData>
  <mergeCells count="8">
    <mergeCell ref="A12:E12"/>
    <mergeCell ref="A4:E4"/>
    <mergeCell ref="A26:E26"/>
    <mergeCell ref="A52:E52"/>
    <mergeCell ref="A42:E42"/>
    <mergeCell ref="A33:E33"/>
    <mergeCell ref="A1:E1"/>
    <mergeCell ref="A18:E18"/>
  </mergeCells>
  <pageMargins left="0.5" right="0.5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40" customHeight="1">
      <c r="A1" s="1" t="inlineStr">
        <is>
          <t>MARKETING PLAN</t>
        </is>
      </c>
    </row>
    <row r="3" ht="28" customHeight="1">
      <c r="A3" s="3" t="inlineStr">
        <is>
          <t>◆ MARKETING CHANNELS &amp; BUDGET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4" customHeight="1">
      <c r="A4" s="10" t="inlineStr">
        <is>
          <t>Channel</t>
        </is>
      </c>
      <c r="B4" s="10" t="inlineStr">
        <is>
          <t>Strategy</t>
        </is>
      </c>
      <c r="C4" s="10" t="inlineStr">
        <is>
          <t>Monthly Budget</t>
        </is>
      </c>
      <c r="D4" s="10" t="inlineStr">
        <is>
          <t>Annual Budget</t>
        </is>
      </c>
      <c r="E4" s="10" t="inlineStr">
        <is>
          <t>Expected Leads/Mo</t>
        </is>
      </c>
      <c r="F4" s="10" t="inlineStr">
        <is>
          <t>Cost per Lead</t>
        </is>
      </c>
      <c r="G4" s="10" t="inlineStr">
        <is>
          <t>Timeline</t>
        </is>
      </c>
      <c r="H4" s="10" t="inlineStr">
        <is>
          <t>KPI</t>
        </is>
      </c>
      <c r="I4" s="10" t="inlineStr">
        <is>
          <t>Priority</t>
        </is>
      </c>
    </row>
    <row r="5">
      <c r="A5" s="15" t="inlineStr">
        <is>
          <t>Google Ads</t>
        </is>
      </c>
      <c r="B5" s="39" t="inlineStr">
        <is>
          <t>Local search campaigns</t>
        </is>
      </c>
      <c r="C5" s="16" t="n">
        <v>1500</v>
      </c>
      <c r="D5" s="16">
        <f>C5*12</f>
        <v/>
      </c>
      <c r="E5" s="40" t="n">
        <v>20</v>
      </c>
      <c r="F5" s="41">
        <f>C5/E5</f>
        <v/>
      </c>
      <c r="G5" s="40" t="inlineStr">
        <is>
          <t>Month 1+</t>
        </is>
      </c>
      <c r="H5" s="39" t="inlineStr">
        <is>
          <t>Leads, CPA</t>
        </is>
      </c>
      <c r="I5" s="42" t="inlineStr">
        <is>
          <t>HIGH</t>
        </is>
      </c>
    </row>
    <row r="6">
      <c r="A6" s="11" t="inlineStr">
        <is>
          <t>SEO / Website</t>
        </is>
      </c>
      <c r="B6" s="43" t="inlineStr">
        <is>
          <t>Content + local SEO</t>
        </is>
      </c>
      <c r="C6" s="12" t="n">
        <v>500</v>
      </c>
      <c r="D6" s="12">
        <f>C6*12</f>
        <v/>
      </c>
      <c r="E6" s="44" t="n">
        <v>15</v>
      </c>
      <c r="F6" s="45">
        <f>C6/E6</f>
        <v/>
      </c>
      <c r="G6" s="44" t="inlineStr">
        <is>
          <t>Month 1+</t>
        </is>
      </c>
      <c r="H6" s="43" t="inlineStr">
        <is>
          <t>Organic traffic</t>
        </is>
      </c>
      <c r="I6" s="42" t="inlineStr">
        <is>
          <t>HIGH</t>
        </is>
      </c>
    </row>
    <row r="7">
      <c r="A7" s="15" t="inlineStr">
        <is>
          <t>Google Business</t>
        </is>
      </c>
      <c r="B7" s="39" t="inlineStr">
        <is>
          <t>Reviews + posts</t>
        </is>
      </c>
      <c r="C7" s="16" t="n">
        <v>0</v>
      </c>
      <c r="D7" s="16">
        <f>C7*12</f>
        <v/>
      </c>
      <c r="E7" s="40" t="n">
        <v>10</v>
      </c>
      <c r="F7" s="41">
        <f>IF(E7=0,0,C7/E7)</f>
        <v/>
      </c>
      <c r="G7" s="40" t="inlineStr">
        <is>
          <t>Month 1+</t>
        </is>
      </c>
      <c r="H7" s="39" t="inlineStr">
        <is>
          <t>Reviews, calls</t>
        </is>
      </c>
      <c r="I7" s="42" t="inlineStr">
        <is>
          <t>HIGH</t>
        </is>
      </c>
    </row>
    <row r="8">
      <c r="A8" s="11" t="inlineStr">
        <is>
          <t>Facebook/Instagram</t>
        </is>
      </c>
      <c r="B8" s="43" t="inlineStr">
        <is>
          <t>Before/after posts, ads</t>
        </is>
      </c>
      <c r="C8" s="12" t="n">
        <v>800</v>
      </c>
      <c r="D8" s="12">
        <f>C8*12</f>
        <v/>
      </c>
      <c r="E8" s="44" t="n">
        <v>8</v>
      </c>
      <c r="F8" s="45">
        <f>C8/E8</f>
        <v/>
      </c>
      <c r="G8" s="44" t="inlineStr">
        <is>
          <t>Month 1+</t>
        </is>
      </c>
      <c r="H8" s="43" t="inlineStr">
        <is>
          <t>Engagement</t>
        </is>
      </c>
      <c r="I8" s="46" t="inlineStr">
        <is>
          <t>MED</t>
        </is>
      </c>
    </row>
    <row r="9">
      <c r="A9" s="15" t="inlineStr">
        <is>
          <t>Nextdoor</t>
        </is>
      </c>
      <c r="B9" s="39" t="inlineStr">
        <is>
          <t>Community engagement</t>
        </is>
      </c>
      <c r="C9" s="16" t="n">
        <v>200</v>
      </c>
      <c r="D9" s="16">
        <f>C9*12</f>
        <v/>
      </c>
      <c r="E9" s="40" t="n">
        <v>5</v>
      </c>
      <c r="F9" s="41">
        <f>C9/E9</f>
        <v/>
      </c>
      <c r="G9" s="40" t="inlineStr">
        <is>
          <t>Month 2+</t>
        </is>
      </c>
      <c r="H9" s="39" t="inlineStr">
        <is>
          <t>Recommendations</t>
        </is>
      </c>
      <c r="I9" s="47" t="inlineStr">
        <is>
          <t>MED</t>
        </is>
      </c>
    </row>
    <row r="10">
      <c r="A10" s="11" t="inlineStr">
        <is>
          <t>Yard Signs</t>
        </is>
      </c>
      <c r="B10" s="43" t="inlineStr">
        <is>
          <t>Job site signage</t>
        </is>
      </c>
      <c r="C10" s="12" t="n">
        <v>100</v>
      </c>
      <c r="D10" s="12">
        <f>C10*12</f>
        <v/>
      </c>
      <c r="E10" s="44" t="n">
        <v>3</v>
      </c>
      <c r="F10" s="45">
        <f>C10/E10</f>
        <v/>
      </c>
      <c r="G10" s="44" t="inlineStr">
        <is>
          <t>Month 1+</t>
        </is>
      </c>
      <c r="H10" s="43" t="inlineStr">
        <is>
          <t>Calls from signs</t>
        </is>
      </c>
      <c r="I10" s="46" t="inlineStr">
        <is>
          <t>MED</t>
        </is>
      </c>
    </row>
    <row r="11">
      <c r="A11" s="15" t="inlineStr">
        <is>
          <t>Referral Program</t>
        </is>
      </c>
      <c r="B11" s="39" t="inlineStr">
        <is>
          <t>Incentive for referrals</t>
        </is>
      </c>
      <c r="C11" s="16" t="n">
        <v>300</v>
      </c>
      <c r="D11" s="16">
        <f>C11*12</f>
        <v/>
      </c>
      <c r="E11" s="40" t="n">
        <v>4</v>
      </c>
      <c r="F11" s="41">
        <f>C11/E11</f>
        <v/>
      </c>
      <c r="G11" s="40" t="inlineStr">
        <is>
          <t>Month 3+</t>
        </is>
      </c>
      <c r="H11" s="39" t="inlineStr">
        <is>
          <t>Referral rate</t>
        </is>
      </c>
      <c r="I11" s="42" t="inlineStr">
        <is>
          <t>HIGH</t>
        </is>
      </c>
    </row>
    <row r="12">
      <c r="A12" s="11" t="inlineStr">
        <is>
          <t>Direct Mail</t>
        </is>
      </c>
      <c r="B12" s="43" t="inlineStr">
        <is>
          <t>Targeted postcards</t>
        </is>
      </c>
      <c r="C12" s="12" t="n">
        <v>500</v>
      </c>
      <c r="D12" s="12">
        <f>C12*12</f>
        <v/>
      </c>
      <c r="E12" s="44" t="n">
        <v>3</v>
      </c>
      <c r="F12" s="45">
        <f>C12/E12</f>
        <v/>
      </c>
      <c r="G12" s="44" t="inlineStr">
        <is>
          <t>Quarterly</t>
        </is>
      </c>
      <c r="H12" s="43" t="inlineStr">
        <is>
          <t>Response rate</t>
        </is>
      </c>
      <c r="I12" s="48" t="inlineStr">
        <is>
          <t>LOW</t>
        </is>
      </c>
    </row>
    <row r="13">
      <c r="A13" s="15" t="inlineStr">
        <is>
          <t>Home Shows/Events</t>
        </is>
      </c>
      <c r="B13" s="39" t="inlineStr">
        <is>
          <t>Local event booths</t>
        </is>
      </c>
      <c r="C13" s="16" t="n">
        <v>200</v>
      </c>
      <c r="D13" s="16">
        <f>C13*12</f>
        <v/>
      </c>
      <c r="E13" s="40" t="n">
        <v>5</v>
      </c>
      <c r="F13" s="41">
        <f>C13/E13</f>
        <v/>
      </c>
      <c r="G13" s="40" t="inlineStr">
        <is>
          <t>Seasonal</t>
        </is>
      </c>
      <c r="H13" s="39" t="inlineStr">
        <is>
          <t>Contacts</t>
        </is>
      </c>
      <c r="I13" s="48" t="inlineStr">
        <is>
          <t>LOW</t>
        </is>
      </c>
    </row>
    <row r="14">
      <c r="A14" s="11" t="inlineStr">
        <is>
          <t>Vehicle Wrap</t>
        </is>
      </c>
      <c r="B14" s="43" t="inlineStr">
        <is>
          <t>Mobile advertising</t>
        </is>
      </c>
      <c r="C14" s="12" t="n">
        <v>100</v>
      </c>
      <c r="D14" s="12">
        <f>C14*12</f>
        <v/>
      </c>
      <c r="E14" s="44" t="n">
        <v>2</v>
      </c>
      <c r="F14" s="45">
        <f>C14/E14</f>
        <v/>
      </c>
      <c r="G14" s="44" t="inlineStr">
        <is>
          <t>Month 1+</t>
        </is>
      </c>
      <c r="H14" s="43" t="inlineStr">
        <is>
          <t>Brand awareness</t>
        </is>
      </c>
      <c r="I14" s="46" t="inlineStr">
        <is>
          <t>MED</t>
        </is>
      </c>
    </row>
    <row r="15">
      <c r="A15" s="25" t="inlineStr">
        <is>
          <t>TOTAL</t>
        </is>
      </c>
      <c r="B15" s="35" t="n"/>
      <c r="C15" s="26">
        <f>SUM(C5:C14)</f>
        <v/>
      </c>
      <c r="D15" s="26">
        <f>SUM(D5:D14)</f>
        <v/>
      </c>
      <c r="E15" s="26">
        <f>SUM(E5:E14)</f>
        <v/>
      </c>
      <c r="F15" s="49">
        <f>IF(E15=0,0,C15/E15)</f>
        <v/>
      </c>
      <c r="G15" s="35" t="n"/>
      <c r="H15" s="35" t="n"/>
      <c r="I15" s="35" t="n"/>
    </row>
    <row r="17" ht="28" customHeight="1">
      <c r="A17" s="3" t="inlineStr">
        <is>
          <t>◆ MARKETING GOALS &amp; KPIs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24" customHeight="1">
      <c r="A18" s="10" t="inlineStr">
        <is>
          <t>Metric</t>
        </is>
      </c>
      <c r="B18" s="10" t="inlineStr">
        <is>
          <t>Month 1</t>
        </is>
      </c>
      <c r="C18" s="10" t="inlineStr">
        <is>
          <t>Month 3</t>
        </is>
      </c>
      <c r="D18" s="10" t="inlineStr">
        <is>
          <t>Month 6</t>
        </is>
      </c>
      <c r="E18" s="10" t="inlineStr">
        <is>
          <t>Month 12</t>
        </is>
      </c>
      <c r="F18" s="10" t="inlineStr">
        <is>
          <t>Notes</t>
        </is>
      </c>
    </row>
    <row r="19">
      <c r="A19" s="15" t="inlineStr">
        <is>
          <t>Website Visitors/Month</t>
        </is>
      </c>
      <c r="B19" s="16" t="n">
        <v>200</v>
      </c>
      <c r="C19" s="16" t="n">
        <v>500</v>
      </c>
      <c r="D19" s="16" t="n">
        <v>1500</v>
      </c>
      <c r="E19" s="16" t="n">
        <v>3000</v>
      </c>
      <c r="F19" s="9" t="inlineStr">
        <is>
          <t>Track via Google Analytics</t>
        </is>
      </c>
    </row>
    <row r="20">
      <c r="A20" s="11" t="inlineStr">
        <is>
          <t>Leads Generated/Month</t>
        </is>
      </c>
      <c r="B20" s="44" t="n">
        <v>10</v>
      </c>
      <c r="C20" s="44" t="n">
        <v>25</v>
      </c>
      <c r="D20" s="44" t="n">
        <v>50</v>
      </c>
      <c r="E20" s="44" t="n">
        <v>75</v>
      </c>
      <c r="F20" s="19" t="inlineStr">
        <is>
          <t>Phone + form + email</t>
        </is>
      </c>
    </row>
    <row r="21">
      <c r="A21" s="15" t="inlineStr">
        <is>
          <t>Conversion Rate</t>
        </is>
      </c>
      <c r="B21" s="40" t="inlineStr">
        <is>
          <t>5%</t>
        </is>
      </c>
      <c r="C21" s="40" t="inlineStr">
        <is>
          <t>8%</t>
        </is>
      </c>
      <c r="D21" s="40" t="inlineStr">
        <is>
          <t>12%</t>
        </is>
      </c>
      <c r="E21" s="40" t="inlineStr">
        <is>
          <t>15%</t>
        </is>
      </c>
      <c r="F21" s="9" t="inlineStr">
        <is>
          <t>Leads → signed contracts</t>
        </is>
      </c>
    </row>
    <row r="22">
      <c r="A22" s="11" t="inlineStr">
        <is>
          <t>New Customers/Month</t>
        </is>
      </c>
      <c r="B22" s="44" t="n">
        <v>1</v>
      </c>
      <c r="C22" s="44" t="n">
        <v>2</v>
      </c>
      <c r="D22" s="44" t="n">
        <v>6</v>
      </c>
      <c r="E22" s="44" t="n">
        <v>11</v>
      </c>
      <c r="F22" s="19" t="inlineStr">
        <is>
          <t>Signed contracts</t>
        </is>
      </c>
    </row>
    <row r="23">
      <c r="A23" s="15" t="inlineStr">
        <is>
          <t>Google Reviews</t>
        </is>
      </c>
      <c r="B23" s="40" t="n">
        <v>5</v>
      </c>
      <c r="C23" s="40" t="n">
        <v>15</v>
      </c>
      <c r="D23" s="40" t="n">
        <v>30</v>
      </c>
      <c r="E23" s="40" t="n">
        <v>60</v>
      </c>
      <c r="F23" s="9" t="inlineStr">
        <is>
          <t>Target: 4.8+ avg rating</t>
        </is>
      </c>
    </row>
    <row r="24">
      <c r="A24" s="11" t="inlineStr">
        <is>
          <t>Social Media Followers</t>
        </is>
      </c>
      <c r="B24" s="44" t="n">
        <v>50</v>
      </c>
      <c r="C24" s="12" t="n">
        <v>200</v>
      </c>
      <c r="D24" s="12" t="n">
        <v>500</v>
      </c>
      <c r="E24" s="12" t="n">
        <v>1000</v>
      </c>
      <c r="F24" s="19" t="inlineStr">
        <is>
          <t>All platforms combined</t>
        </is>
      </c>
    </row>
    <row r="25">
      <c r="A25" s="15" t="inlineStr">
        <is>
          <t>Revenue from Marketing</t>
        </is>
      </c>
      <c r="B25" s="16" t="n">
        <v>15000</v>
      </c>
      <c r="C25" s="16" t="n">
        <v>30000</v>
      </c>
      <c r="D25" s="16" t="n">
        <v>90000</v>
      </c>
      <c r="E25" s="16" t="n">
        <v>165000</v>
      </c>
      <c r="F25" s="9" t="inlineStr">
        <is>
          <t>Attributed revenue</t>
        </is>
      </c>
    </row>
  </sheetData>
  <mergeCells count="10">
    <mergeCell ref="F23:I23"/>
    <mergeCell ref="A1:I1"/>
    <mergeCell ref="A17:I17"/>
    <mergeCell ref="F24:I24"/>
    <mergeCell ref="F21:I21"/>
    <mergeCell ref="A3:I3"/>
    <mergeCell ref="F19:I19"/>
    <mergeCell ref="F20:I20"/>
    <mergeCell ref="F25:I25"/>
    <mergeCell ref="F22:I22"/>
  </mergeCells>
  <pageMargins left="0.5" right="0.5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I4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40" customHeight="1">
      <c r="A1" s="1" t="inlineStr">
        <is>
          <t>OPERATIONS PLAN</t>
        </is>
      </c>
    </row>
    <row r="3" ht="28" customHeight="1">
      <c r="A3" s="3" t="inlineStr">
        <is>
          <t>◆ CREW PLANNING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4" customHeight="1">
      <c r="A4" s="10" t="inlineStr">
        <is>
          <t>Role</t>
        </is>
      </c>
      <c r="B4" s="10" t="inlineStr">
        <is>
          <t>Name</t>
        </is>
      </c>
      <c r="C4" s="10" t="inlineStr">
        <is>
          <t>Hourly Rate</t>
        </is>
      </c>
      <c r="D4" s="10" t="inlineStr">
        <is>
          <t>Weekly Hours</t>
        </is>
      </c>
      <c r="E4" s="10" t="inlineStr">
        <is>
          <t>Weekly Cost</t>
        </is>
      </c>
      <c r="F4" s="10" t="inlineStr">
        <is>
          <t>Annual Cost</t>
        </is>
      </c>
      <c r="G4" s="10" t="inlineStr">
        <is>
          <t>Start Date</t>
        </is>
      </c>
      <c r="H4" s="10" t="inlineStr">
        <is>
          <t>Status</t>
        </is>
      </c>
      <c r="I4" s="10" t="inlineStr">
        <is>
          <t>Notes</t>
        </is>
      </c>
    </row>
    <row r="5">
      <c r="A5" s="15" t="inlineStr">
        <is>
          <t>Owner / Lead</t>
        </is>
      </c>
      <c r="B5" s="50" t="inlineStr">
        <is>
          <t>[Your Name]</t>
        </is>
      </c>
      <c r="C5" s="41" t="n">
        <v>45</v>
      </c>
      <c r="D5" s="40" t="n">
        <v>50</v>
      </c>
      <c r="E5" s="16">
        <f>C5*D5</f>
        <v/>
      </c>
      <c r="F5" s="16">
        <f>E5*52</f>
        <v/>
      </c>
      <c r="G5" s="50" t="inlineStr">
        <is>
          <t>[Date]</t>
        </is>
      </c>
      <c r="H5" s="51" t="inlineStr">
        <is>
          <t>Active</t>
        </is>
      </c>
      <c r="I5" s="9" t="inlineStr"/>
    </row>
    <row r="6">
      <c r="A6" s="11" t="inlineStr">
        <is>
          <t>Foreman</t>
        </is>
      </c>
      <c r="B6" s="52" t="inlineStr">
        <is>
          <t>[TBD]</t>
        </is>
      </c>
      <c r="C6" s="45" t="n">
        <v>35</v>
      </c>
      <c r="D6" s="44" t="n">
        <v>45</v>
      </c>
      <c r="E6" s="12">
        <f>C6*D6</f>
        <v/>
      </c>
      <c r="F6" s="12">
        <f>E6*52</f>
        <v/>
      </c>
      <c r="G6" s="52" t="inlineStr">
        <is>
          <t>[Month 3]</t>
        </is>
      </c>
      <c r="H6" s="44" t="inlineStr">
        <is>
          <t>Planned</t>
        </is>
      </c>
      <c r="I6" s="19" t="inlineStr"/>
    </row>
    <row r="7">
      <c r="A7" s="15" t="inlineStr">
        <is>
          <t>Journeyman 1</t>
        </is>
      </c>
      <c r="B7" s="50" t="inlineStr">
        <is>
          <t>[TBD]</t>
        </is>
      </c>
      <c r="C7" s="41" t="n">
        <v>28</v>
      </c>
      <c r="D7" s="40" t="n">
        <v>40</v>
      </c>
      <c r="E7" s="16">
        <f>C7*D7</f>
        <v/>
      </c>
      <c r="F7" s="16">
        <f>E7*52</f>
        <v/>
      </c>
      <c r="G7" s="50" t="inlineStr">
        <is>
          <t>[Month 2]</t>
        </is>
      </c>
      <c r="H7" s="40" t="inlineStr">
        <is>
          <t>Planned</t>
        </is>
      </c>
      <c r="I7" s="9" t="inlineStr"/>
    </row>
    <row r="8">
      <c r="A8" s="11" t="inlineStr">
        <is>
          <t>Journeyman 2</t>
        </is>
      </c>
      <c r="B8" s="52" t="inlineStr">
        <is>
          <t>[TBD]</t>
        </is>
      </c>
      <c r="C8" s="45" t="n">
        <v>28</v>
      </c>
      <c r="D8" s="44" t="n">
        <v>40</v>
      </c>
      <c r="E8" s="12">
        <f>C8*D8</f>
        <v/>
      </c>
      <c r="F8" s="12">
        <f>E8*52</f>
        <v/>
      </c>
      <c r="G8" s="52" t="inlineStr">
        <is>
          <t>[Month 6]</t>
        </is>
      </c>
      <c r="H8" s="44" t="inlineStr">
        <is>
          <t>Planned</t>
        </is>
      </c>
      <c r="I8" s="19" t="inlineStr"/>
    </row>
    <row r="9">
      <c r="A9" s="15" t="inlineStr">
        <is>
          <t>Apprentice</t>
        </is>
      </c>
      <c r="B9" s="50" t="inlineStr">
        <is>
          <t>[TBD]</t>
        </is>
      </c>
      <c r="C9" s="41" t="n">
        <v>18</v>
      </c>
      <c r="D9" s="40" t="n">
        <v>40</v>
      </c>
      <c r="E9" s="16">
        <f>C9*D9</f>
        <v/>
      </c>
      <c r="F9" s="16">
        <f>E9*52</f>
        <v/>
      </c>
      <c r="G9" s="50" t="inlineStr">
        <is>
          <t>[Month 4]</t>
        </is>
      </c>
      <c r="H9" s="40" t="inlineStr">
        <is>
          <t>Planned</t>
        </is>
      </c>
      <c r="I9" s="9" t="inlineStr"/>
    </row>
    <row r="10">
      <c r="A10" s="11" t="inlineStr">
        <is>
          <t>Laborer 1</t>
        </is>
      </c>
      <c r="B10" s="52" t="inlineStr">
        <is>
          <t>[TBD]</t>
        </is>
      </c>
      <c r="C10" s="45" t="n">
        <v>16</v>
      </c>
      <c r="D10" s="44" t="n">
        <v>40</v>
      </c>
      <c r="E10" s="12">
        <f>C10*D10</f>
        <v/>
      </c>
      <c r="F10" s="12">
        <f>E10*52</f>
        <v/>
      </c>
      <c r="G10" s="52" t="inlineStr">
        <is>
          <t>[Month 1]</t>
        </is>
      </c>
      <c r="H10" s="44" t="inlineStr">
        <is>
          <t>Planned</t>
        </is>
      </c>
      <c r="I10" s="19" t="inlineStr"/>
    </row>
    <row r="11">
      <c r="A11" s="15" t="inlineStr">
        <is>
          <t>Laborer 2</t>
        </is>
      </c>
      <c r="B11" s="50" t="inlineStr">
        <is>
          <t>[TBD]</t>
        </is>
      </c>
      <c r="C11" s="41" t="n">
        <v>16</v>
      </c>
      <c r="D11" s="40" t="n">
        <v>40</v>
      </c>
      <c r="E11" s="16">
        <f>C11*D11</f>
        <v/>
      </c>
      <c r="F11" s="16">
        <f>E11*52</f>
        <v/>
      </c>
      <c r="G11" s="50" t="inlineStr">
        <is>
          <t>[Month 6]</t>
        </is>
      </c>
      <c r="H11" s="40" t="inlineStr">
        <is>
          <t>Planned</t>
        </is>
      </c>
      <c r="I11" s="9" t="inlineStr"/>
    </row>
    <row r="12">
      <c r="A12" s="11" t="inlineStr">
        <is>
          <t>Office Manager</t>
        </is>
      </c>
      <c r="B12" s="52" t="inlineStr">
        <is>
          <t>[TBD]</t>
        </is>
      </c>
      <c r="C12" s="45" t="n">
        <v>22</v>
      </c>
      <c r="D12" s="44" t="n">
        <v>30</v>
      </c>
      <c r="E12" s="12">
        <f>C12*D12</f>
        <v/>
      </c>
      <c r="F12" s="12">
        <f>E12*52</f>
        <v/>
      </c>
      <c r="G12" s="52" t="inlineStr">
        <is>
          <t>[Month 9]</t>
        </is>
      </c>
      <c r="H12" s="44" t="inlineStr">
        <is>
          <t>Planned</t>
        </is>
      </c>
      <c r="I12" s="19" t="inlineStr">
        <is>
          <t>Part-time</t>
        </is>
      </c>
    </row>
    <row r="14" ht="28" customHeight="1">
      <c r="A14" s="3" t="inlineStr">
        <is>
          <t>◆ EQUIPMENT LIST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24" customHeight="1">
      <c r="A15" s="10" t="inlineStr">
        <is>
          <t>Equipment</t>
        </is>
      </c>
      <c r="B15" s="10" t="inlineStr">
        <is>
          <t>Qty</t>
        </is>
      </c>
      <c r="C15" s="10" t="inlineStr">
        <is>
          <t>Unit Cost</t>
        </is>
      </c>
      <c r="D15" s="10" t="inlineStr">
        <is>
          <t>Total Cost</t>
        </is>
      </c>
      <c r="E15" s="10" t="inlineStr">
        <is>
          <t>Condition</t>
        </is>
      </c>
      <c r="F15" s="10" t="inlineStr">
        <is>
          <t>Replace By</t>
        </is>
      </c>
      <c r="G15" s="10" t="inlineStr">
        <is>
          <t>Priority</t>
        </is>
      </c>
    </row>
    <row r="16">
      <c r="A16" s="22" t="inlineStr">
        <is>
          <t>Circular Saw</t>
        </is>
      </c>
      <c r="B16" s="40" t="n">
        <v>2</v>
      </c>
      <c r="C16" s="16" t="n">
        <v>350</v>
      </c>
      <c r="D16" s="16">
        <f>B16*C16</f>
        <v/>
      </c>
      <c r="E16" s="40" t="inlineStr">
        <is>
          <t>New</t>
        </is>
      </c>
      <c r="F16" s="40" t="inlineStr">
        <is>
          <t>2029</t>
        </is>
      </c>
      <c r="G16" s="42" t="inlineStr">
        <is>
          <t>Essential</t>
        </is>
      </c>
    </row>
    <row r="17">
      <c r="A17" s="24" t="inlineStr">
        <is>
          <t>Miter Saw (12")</t>
        </is>
      </c>
      <c r="B17" s="44" t="n">
        <v>1</v>
      </c>
      <c r="C17" s="12" t="n">
        <v>600</v>
      </c>
      <c r="D17" s="12">
        <f>B17*C17</f>
        <v/>
      </c>
      <c r="E17" s="44" t="inlineStr">
        <is>
          <t>New</t>
        </is>
      </c>
      <c r="F17" s="44" t="inlineStr">
        <is>
          <t>2030</t>
        </is>
      </c>
      <c r="G17" s="42" t="inlineStr">
        <is>
          <t>Essential</t>
        </is>
      </c>
    </row>
    <row r="18">
      <c r="A18" s="22" t="inlineStr">
        <is>
          <t>Table Saw (Portable)</t>
        </is>
      </c>
      <c r="B18" s="40" t="n">
        <v>1</v>
      </c>
      <c r="C18" s="16" t="n">
        <v>800</v>
      </c>
      <c r="D18" s="16">
        <f>B18*C18</f>
        <v/>
      </c>
      <c r="E18" s="40" t="inlineStr">
        <is>
          <t>New</t>
        </is>
      </c>
      <c r="F18" s="40" t="inlineStr">
        <is>
          <t>2030</t>
        </is>
      </c>
      <c r="G18" s="42" t="inlineStr">
        <is>
          <t>Essential</t>
        </is>
      </c>
    </row>
    <row r="19">
      <c r="A19" s="24" t="inlineStr">
        <is>
          <t>Drill/Driver Set</t>
        </is>
      </c>
      <c r="B19" s="44" t="n">
        <v>4</v>
      </c>
      <c r="C19" s="12" t="n">
        <v>200</v>
      </c>
      <c r="D19" s="12">
        <f>B19*C19</f>
        <v/>
      </c>
      <c r="E19" s="44" t="inlineStr">
        <is>
          <t>New</t>
        </is>
      </c>
      <c r="F19" s="44" t="inlineStr">
        <is>
          <t>2028</t>
        </is>
      </c>
      <c r="G19" s="42" t="inlineStr">
        <is>
          <t>Essential</t>
        </is>
      </c>
    </row>
    <row r="20">
      <c r="A20" s="22" t="inlineStr">
        <is>
          <t>Impact Driver Set</t>
        </is>
      </c>
      <c r="B20" s="40" t="n">
        <v>3</v>
      </c>
      <c r="C20" s="16" t="n">
        <v>250</v>
      </c>
      <c r="D20" s="16">
        <f>B20*C20</f>
        <v/>
      </c>
      <c r="E20" s="40" t="inlineStr">
        <is>
          <t>New</t>
        </is>
      </c>
      <c r="F20" s="40" t="inlineStr">
        <is>
          <t>2028</t>
        </is>
      </c>
      <c r="G20" s="42" t="inlineStr">
        <is>
          <t>Essential</t>
        </is>
      </c>
    </row>
    <row r="21">
      <c r="A21" s="24" t="inlineStr">
        <is>
          <t>Air Compressor</t>
        </is>
      </c>
      <c r="B21" s="44" t="n">
        <v>1</v>
      </c>
      <c r="C21" s="12" t="n">
        <v>500</v>
      </c>
      <c r="D21" s="12">
        <f>B21*C21</f>
        <v/>
      </c>
      <c r="E21" s="44" t="inlineStr">
        <is>
          <t>New</t>
        </is>
      </c>
      <c r="F21" s="44" t="inlineStr">
        <is>
          <t>2030</t>
        </is>
      </c>
      <c r="G21" s="42" t="inlineStr">
        <is>
          <t>Essential</t>
        </is>
      </c>
    </row>
    <row r="22">
      <c r="A22" s="22" t="inlineStr">
        <is>
          <t>Nail Gun (Framing)</t>
        </is>
      </c>
      <c r="B22" s="40" t="n">
        <v>2</v>
      </c>
      <c r="C22" s="16" t="n">
        <v>350</v>
      </c>
      <c r="D22" s="16">
        <f>B22*C22</f>
        <v/>
      </c>
      <c r="E22" s="40" t="inlineStr">
        <is>
          <t>New</t>
        </is>
      </c>
      <c r="F22" s="40" t="inlineStr">
        <is>
          <t>2029</t>
        </is>
      </c>
      <c r="G22" s="42" t="inlineStr">
        <is>
          <t>Essential</t>
        </is>
      </c>
    </row>
    <row r="23">
      <c r="A23" s="24" t="inlineStr">
        <is>
          <t>Nail Gun (Finish)</t>
        </is>
      </c>
      <c r="B23" s="44" t="n">
        <v>2</v>
      </c>
      <c r="C23" s="12" t="n">
        <v>300</v>
      </c>
      <c r="D23" s="12">
        <f>B23*C23</f>
        <v/>
      </c>
      <c r="E23" s="44" t="inlineStr">
        <is>
          <t>New</t>
        </is>
      </c>
      <c r="F23" s="44" t="inlineStr">
        <is>
          <t>2029</t>
        </is>
      </c>
      <c r="G23" s="42" t="inlineStr">
        <is>
          <t>Essential</t>
        </is>
      </c>
    </row>
    <row r="24">
      <c r="A24" s="22" t="inlineStr">
        <is>
          <t>Laser Level</t>
        </is>
      </c>
      <c r="B24" s="40" t="n">
        <v>1</v>
      </c>
      <c r="C24" s="16" t="n">
        <v>400</v>
      </c>
      <c r="D24" s="16">
        <f>B24*C24</f>
        <v/>
      </c>
      <c r="E24" s="40" t="inlineStr">
        <is>
          <t>New</t>
        </is>
      </c>
      <c r="F24" s="40" t="inlineStr">
        <is>
          <t>2031</t>
        </is>
      </c>
      <c r="G24" s="42" t="inlineStr">
        <is>
          <t>Essential</t>
        </is>
      </c>
    </row>
    <row r="25">
      <c r="A25" s="24" t="inlineStr">
        <is>
          <t>Generator (7500W)</t>
        </is>
      </c>
      <c r="B25" s="44" t="n">
        <v>1</v>
      </c>
      <c r="C25" s="12" t="n">
        <v>1200</v>
      </c>
      <c r="D25" s="12">
        <f>B25*C25</f>
        <v/>
      </c>
      <c r="E25" s="44" t="inlineStr">
        <is>
          <t>New</t>
        </is>
      </c>
      <c r="F25" s="44" t="inlineStr">
        <is>
          <t>2032</t>
        </is>
      </c>
      <c r="G25" s="46" t="inlineStr">
        <is>
          <t>Important</t>
        </is>
      </c>
    </row>
    <row r="26">
      <c r="A26" s="22" t="inlineStr">
        <is>
          <t>Concrete Mixer</t>
        </is>
      </c>
      <c r="B26" s="40" t="n">
        <v>1</v>
      </c>
      <c r="C26" s="16" t="n">
        <v>800</v>
      </c>
      <c r="D26" s="16">
        <f>B26*C26</f>
        <v/>
      </c>
      <c r="E26" s="40" t="inlineStr">
        <is>
          <t>Good</t>
        </is>
      </c>
      <c r="F26" s="40" t="inlineStr">
        <is>
          <t>2030</t>
        </is>
      </c>
      <c r="G26" s="47" t="inlineStr">
        <is>
          <t>Important</t>
        </is>
      </c>
    </row>
    <row r="27">
      <c r="A27" s="24" t="inlineStr">
        <is>
          <t>Scaffolding Set</t>
        </is>
      </c>
      <c r="B27" s="44" t="n">
        <v>1</v>
      </c>
      <c r="C27" s="12" t="n">
        <v>1500</v>
      </c>
      <c r="D27" s="12">
        <f>B27*C27</f>
        <v/>
      </c>
      <c r="E27" s="44" t="inlineStr">
        <is>
          <t>New</t>
        </is>
      </c>
      <c r="F27" s="44" t="inlineStr">
        <is>
          <t>2032</t>
        </is>
      </c>
      <c r="G27" s="42" t="inlineStr">
        <is>
          <t>Essential</t>
        </is>
      </c>
    </row>
    <row r="28">
      <c r="A28" s="22" t="inlineStr">
        <is>
          <t>Extension Ladders</t>
        </is>
      </c>
      <c r="B28" s="40" t="n">
        <v>3</v>
      </c>
      <c r="C28" s="16" t="n">
        <v>300</v>
      </c>
      <c r="D28" s="16">
        <f>B28*C28</f>
        <v/>
      </c>
      <c r="E28" s="40" t="inlineStr">
        <is>
          <t>New</t>
        </is>
      </c>
      <c r="F28" s="40" t="inlineStr">
        <is>
          <t>2030</t>
        </is>
      </c>
      <c r="G28" s="42" t="inlineStr">
        <is>
          <t>Essential</t>
        </is>
      </c>
    </row>
    <row r="29">
      <c r="A29" s="24" t="inlineStr">
        <is>
          <t>Safety Harnesses</t>
        </is>
      </c>
      <c r="B29" s="44" t="n">
        <v>4</v>
      </c>
      <c r="C29" s="12" t="n">
        <v>150</v>
      </c>
      <c r="D29" s="12">
        <f>B29*C29</f>
        <v/>
      </c>
      <c r="E29" s="44" t="inlineStr">
        <is>
          <t>New</t>
        </is>
      </c>
      <c r="F29" s="44" t="inlineStr">
        <is>
          <t>Annual</t>
        </is>
      </c>
      <c r="G29" s="42" t="inlineStr">
        <is>
          <t>Essential</t>
        </is>
      </c>
    </row>
    <row r="30">
      <c r="A30" s="22" t="inlineStr">
        <is>
          <t>First Aid Kits</t>
        </is>
      </c>
      <c r="B30" s="40" t="n">
        <v>2</v>
      </c>
      <c r="C30" s="16" t="n">
        <v>75</v>
      </c>
      <c r="D30" s="16">
        <f>B30*C30</f>
        <v/>
      </c>
      <c r="E30" s="40" t="inlineStr">
        <is>
          <t>New</t>
        </is>
      </c>
      <c r="F30" s="40" t="inlineStr">
        <is>
          <t>Annual</t>
        </is>
      </c>
      <c r="G30" s="42" t="inlineStr">
        <is>
          <t>Essential</t>
        </is>
      </c>
    </row>
    <row r="32" ht="28" customHeight="1">
      <c r="A32" s="3" t="inlineStr">
        <is>
          <t>◆ VEHICLE FLEET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24" customHeight="1">
      <c r="A33" s="10" t="inlineStr">
        <is>
          <t>Vehicle</t>
        </is>
      </c>
      <c r="B33" s="10" t="inlineStr">
        <is>
          <t>Year/Make/Model</t>
        </is>
      </c>
      <c r="C33" s="10" t="inlineStr">
        <is>
          <t>License Plate</t>
        </is>
      </c>
      <c r="D33" s="10" t="inlineStr">
        <is>
          <t>Mileage</t>
        </is>
      </c>
      <c r="E33" s="10" t="inlineStr">
        <is>
          <t>Monthly Payment</t>
        </is>
      </c>
      <c r="F33" s="10" t="inlineStr">
        <is>
          <t>Insurance/Mo</t>
        </is>
      </c>
      <c r="G33" s="10" t="inlineStr">
        <is>
          <t>Fuel/Mo</t>
        </is>
      </c>
      <c r="H33" s="10" t="inlineStr">
        <is>
          <t>Total/Mo</t>
        </is>
      </c>
    </row>
    <row r="34">
      <c r="A34" s="15" t="inlineStr">
        <is>
          <t>Truck 1 (Primary)</t>
        </is>
      </c>
      <c r="B34" s="50" t="inlineStr">
        <is>
          <t>[Year Make Model]</t>
        </is>
      </c>
      <c r="C34" s="50" t="inlineStr">
        <is>
          <t>[Plate #]</t>
        </is>
      </c>
      <c r="D34" s="40" t="n">
        <v>0</v>
      </c>
      <c r="E34" s="16" t="n">
        <v>650</v>
      </c>
      <c r="F34" s="16" t="n">
        <v>250</v>
      </c>
      <c r="G34" s="16" t="n">
        <v>400</v>
      </c>
      <c r="H34" s="23">
        <f>SUM(E34:G34)</f>
        <v/>
      </c>
    </row>
    <row r="35">
      <c r="A35" s="11" t="inlineStr">
        <is>
          <t>Truck 2 (Crew)</t>
        </is>
      </c>
      <c r="B35" s="52" t="inlineStr">
        <is>
          <t>[Year Make Model]</t>
        </is>
      </c>
      <c r="C35" s="52" t="inlineStr">
        <is>
          <t>[Plate #]</t>
        </is>
      </c>
      <c r="D35" s="44" t="n">
        <v>0</v>
      </c>
      <c r="E35" s="12" t="n">
        <v>550</v>
      </c>
      <c r="F35" s="12" t="n">
        <v>200</v>
      </c>
      <c r="G35" s="12" t="n">
        <v>350</v>
      </c>
      <c r="H35" s="17">
        <f>SUM(E35:G35)</f>
        <v/>
      </c>
    </row>
    <row r="36">
      <c r="A36" s="15" t="inlineStr">
        <is>
          <t>Trailer</t>
        </is>
      </c>
      <c r="B36" s="50" t="inlineStr">
        <is>
          <t>[Year Make Model]</t>
        </is>
      </c>
      <c r="C36" s="50" t="inlineStr">
        <is>
          <t>[Plate #]</t>
        </is>
      </c>
      <c r="D36" s="40" t="inlineStr">
        <is>
          <t>N/A</t>
        </is>
      </c>
      <c r="E36" s="16" t="n">
        <v>200</v>
      </c>
      <c r="F36" s="16" t="n">
        <v>50</v>
      </c>
      <c r="G36" s="16" t="n">
        <v>0</v>
      </c>
      <c r="H36" s="23">
        <f>SUM(E36:G36)</f>
        <v/>
      </c>
    </row>
    <row r="38" ht="28" customHeight="1">
      <c r="A38" s="3" t="inlineStr">
        <is>
          <t>◆ INSURANCE REQUIREMENTS CHECKLIST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24" customHeight="1">
      <c r="A39" s="10" t="inlineStr">
        <is>
          <t>Insurance Type</t>
        </is>
      </c>
      <c r="B39" s="10" t="inlineStr">
        <is>
          <t>Required?</t>
        </is>
      </c>
      <c r="C39" s="10" t="inlineStr">
        <is>
          <t>Provider</t>
        </is>
      </c>
      <c r="D39" s="10" t="inlineStr">
        <is>
          <t>Policy #</t>
        </is>
      </c>
      <c r="E39" s="10" t="inlineStr">
        <is>
          <t>Annual Premium</t>
        </is>
      </c>
      <c r="F39" s="10" t="inlineStr">
        <is>
          <t>Coverage Amount</t>
        </is>
      </c>
      <c r="G39" s="10" t="inlineStr">
        <is>
          <t>Renewal Date</t>
        </is>
      </c>
      <c r="H39" s="10" t="inlineStr">
        <is>
          <t>Status</t>
        </is>
      </c>
    </row>
    <row r="40">
      <c r="A40" s="15" t="inlineStr">
        <is>
          <t>General Liability</t>
        </is>
      </c>
      <c r="B40" s="48" t="inlineStr">
        <is>
          <t>YES</t>
        </is>
      </c>
      <c r="C40" s="50" t="inlineStr"/>
      <c r="D40" s="50" t="inlineStr"/>
      <c r="E40" s="16" t="n">
        <v>2500</v>
      </c>
      <c r="F40" s="40" t="inlineStr">
        <is>
          <t>$1M/$2M</t>
        </is>
      </c>
      <c r="G40" s="50" t="inlineStr"/>
      <c r="H40" s="40" t="inlineStr">
        <is>
          <t>☐ Active</t>
        </is>
      </c>
    </row>
    <row r="41">
      <c r="A41" s="11" t="inlineStr">
        <is>
          <t>Workers' Compensation</t>
        </is>
      </c>
      <c r="B41" s="48" t="inlineStr">
        <is>
          <t>YES</t>
        </is>
      </c>
      <c r="C41" s="52" t="inlineStr"/>
      <c r="D41" s="52" t="inlineStr"/>
      <c r="E41" s="12" t="n">
        <v>3000</v>
      </c>
      <c r="F41" s="44" t="inlineStr">
        <is>
          <t>Per state req.</t>
        </is>
      </c>
      <c r="G41" s="52" t="inlineStr"/>
      <c r="H41" s="44" t="inlineStr">
        <is>
          <t>☐ Active</t>
        </is>
      </c>
    </row>
    <row r="42">
      <c r="A42" s="15" t="inlineStr">
        <is>
          <t>Commercial Auto</t>
        </is>
      </c>
      <c r="B42" s="48" t="inlineStr">
        <is>
          <t>YES</t>
        </is>
      </c>
      <c r="C42" s="50" t="inlineStr"/>
      <c r="D42" s="50" t="inlineStr"/>
      <c r="E42" s="16" t="n">
        <v>2400</v>
      </c>
      <c r="F42" s="40" t="inlineStr">
        <is>
          <t>$1M combined</t>
        </is>
      </c>
      <c r="G42" s="50" t="inlineStr"/>
      <c r="H42" s="40" t="inlineStr">
        <is>
          <t>☐ Active</t>
        </is>
      </c>
    </row>
    <row r="43">
      <c r="A43" s="11" t="inlineStr">
        <is>
          <t>Professional Liability</t>
        </is>
      </c>
      <c r="B43" s="46" t="inlineStr">
        <is>
          <t>Recommended</t>
        </is>
      </c>
      <c r="C43" s="52" t="inlineStr"/>
      <c r="D43" s="52" t="inlineStr"/>
      <c r="E43" s="12" t="n">
        <v>1500</v>
      </c>
      <c r="F43" s="44" t="inlineStr">
        <is>
          <t>$1M/$2M</t>
        </is>
      </c>
      <c r="G43" s="52" t="inlineStr"/>
      <c r="H43" s="44" t="inlineStr">
        <is>
          <t>☐ Pending</t>
        </is>
      </c>
    </row>
    <row r="44">
      <c r="A44" s="15" t="inlineStr">
        <is>
          <t>Builders Risk</t>
        </is>
      </c>
      <c r="B44" s="47" t="inlineStr">
        <is>
          <t>Per project</t>
        </is>
      </c>
      <c r="C44" s="50" t="inlineStr"/>
      <c r="D44" s="50" t="inlineStr"/>
      <c r="E44" s="16" t="n">
        <v>1200</v>
      </c>
      <c r="F44" s="40" t="inlineStr">
        <is>
          <t>Project value</t>
        </is>
      </c>
      <c r="G44" s="50" t="inlineStr"/>
      <c r="H44" s="40" t="inlineStr">
        <is>
          <t>☐ Pending</t>
        </is>
      </c>
    </row>
    <row r="45">
      <c r="A45" s="11" t="inlineStr">
        <is>
          <t>Umbrella Policy</t>
        </is>
      </c>
      <c r="B45" s="46" t="inlineStr">
        <is>
          <t>Recommended</t>
        </is>
      </c>
      <c r="C45" s="52" t="inlineStr"/>
      <c r="D45" s="52" t="inlineStr"/>
      <c r="E45" s="12" t="n">
        <v>800</v>
      </c>
      <c r="F45" s="44" t="inlineStr">
        <is>
          <t>$2M+</t>
        </is>
      </c>
      <c r="G45" s="52" t="inlineStr"/>
      <c r="H45" s="44" t="inlineStr">
        <is>
          <t>☐ Pending</t>
        </is>
      </c>
    </row>
    <row r="46">
      <c r="A46" s="15" t="inlineStr">
        <is>
          <t>Commercial Property</t>
        </is>
      </c>
      <c r="B46" s="47" t="inlineStr">
        <is>
          <t>If applicable</t>
        </is>
      </c>
      <c r="C46" s="50" t="inlineStr"/>
      <c r="D46" s="50" t="inlineStr"/>
      <c r="E46" s="16" t="n">
        <v>1000</v>
      </c>
      <c r="F46" s="40" t="inlineStr">
        <is>
          <t>Contents value</t>
        </is>
      </c>
      <c r="G46" s="50" t="inlineStr"/>
      <c r="H46" s="40" t="inlineStr">
        <is>
          <t>☐ Pending</t>
        </is>
      </c>
    </row>
    <row r="47">
      <c r="A47" s="11" t="inlineStr">
        <is>
          <t>Surety Bond</t>
        </is>
      </c>
      <c r="B47" s="46" t="inlineStr">
        <is>
          <t>If required</t>
        </is>
      </c>
      <c r="C47" s="52" t="inlineStr"/>
      <c r="D47" s="52" t="inlineStr"/>
      <c r="E47" s="12" t="n">
        <v>500</v>
      </c>
      <c r="F47" s="44" t="inlineStr">
        <is>
          <t>Per contract</t>
        </is>
      </c>
      <c r="G47" s="52" t="inlineStr"/>
      <c r="H47" s="44" t="inlineStr">
        <is>
          <t>☐ Pending</t>
        </is>
      </c>
    </row>
  </sheetData>
  <mergeCells count="5">
    <mergeCell ref="A32:I32"/>
    <mergeCell ref="A14:I14"/>
    <mergeCell ref="A1:I1"/>
    <mergeCell ref="A3:I3"/>
    <mergeCell ref="A38:I38"/>
  </mergeCells>
  <pageMargins left="0.5" right="0.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2026-03-08T08:56:15Z</dcterms:created>
  <dcterms:modified xmlns:dcterms="http://purl.org/dc/terms/" xmlns:xsi="http://www.w3.org/2001/XMLSchema-instance" xsi:type="dcterms:W3CDTF">2026-03-08T08:56:16Z</dcterms:modified>
</cp:coreProperties>
</file>