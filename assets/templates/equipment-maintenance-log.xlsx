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List" sheetId="1" state="visible" r:id="rId1"/>
    <sheet xmlns:r="http://schemas.openxmlformats.org/officeDocument/2006/relationships" name="Maintenance Log" sheetId="2" state="visible" r:id="rId2"/>
    <sheet xmlns:r="http://schemas.openxmlformats.org/officeDocument/2006/relationships" name="Service Schedule" sheetId="3" state="visible" r:id="rId3"/>
    <sheet xmlns:r="http://schemas.openxmlformats.org/officeDocument/2006/relationships" name="Cos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"/>
  </numFmts>
  <fonts count="5">
    <font>
      <name val="Calibri"/>
      <family val="2"/>
      <color theme="1"/>
      <sz val="11"/>
      <scheme val="minor"/>
    </font>
    <font>
      <name val="Calibri"/>
      <b val="1"/>
      <color rgb="001A1A2E"/>
      <sz val="14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3F4F6"/>
        <bgColor rgb="00F3F4F6"/>
      </patternFill>
    </fill>
    <fill>
      <patternFill patternType="solid">
        <fgColor rgb="00F97316"/>
        <bgColor rgb="00F97316"/>
      </patternFill>
    </fill>
    <fill>
      <patternFill patternType="solid">
        <fgColor rgb="008B5CF6"/>
        <bgColor rgb="008B5C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4" fontId="4" fillId="3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4" fontId="4" fillId="0" borderId="1" applyAlignment="1" pivotButton="0" quotePrefix="0" xfId="0">
      <alignment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vertical="center"/>
    </xf>
    <xf numFmtId="0" fontId="3" fillId="4" borderId="0" applyAlignment="1" pivotButton="0" quotePrefix="0" xfId="0">
      <alignment horizontal="right" vertical="center"/>
    </xf>
    <xf numFmtId="0" fontId="0" fillId="4" borderId="1" pivotButton="0" quotePrefix="0" xfId="0"/>
    <xf numFmtId="165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3" fontId="4" fillId="3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0" fontId="3" fillId="5" borderId="0" applyAlignment="1" pivotButton="0" quotePrefix="0" xfId="0">
      <alignment horizontal="right" vertical="center"/>
    </xf>
    <xf numFmtId="0" fontId="0" fillId="5" borderId="0" pivotButton="0" quotePrefix="0" xfId="0"/>
    <xf numFmtId="4" fontId="3" fillId="5" borderId="1" pivotButton="0" quotePrefix="0" xfId="0"/>
    <xf numFmtId="3" fontId="3" fillId="5" borderId="1" pivotButton="0" quotePrefix="0" xfId="0"/>
  </cellXfs>
  <cellStyles count="1">
    <cellStyle name="Normal" xfId="0" builtinId="0" hidden="0"/>
  </cellStyles>
  <dxfs count="3">
    <dxf>
      <font>
        <b val="1"/>
        <color rgb="00DC2626"/>
      </font>
      <fill>
        <patternFill patternType="solid">
          <fgColor rgb="00FEE2E2"/>
          <bgColor rgb="00FEE2E2"/>
        </patternFill>
      </fill>
    </dxf>
    <dxf>
      <font>
        <b val="1"/>
        <color rgb="00A16207"/>
      </font>
      <fill>
        <patternFill patternType="solid">
          <fgColor rgb="00FEF9C3"/>
          <bgColor rgb="00FEF9C3"/>
        </patternFill>
      </fill>
    </dxf>
    <dxf>
      <font>
        <b val="1"/>
        <color rgb="0016A34A"/>
      </font>
      <fill>
        <patternFill patternType="solid">
          <fgColor rgb="00DCFCE7"/>
          <b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0" customWidth="1" min="4" max="4"/>
    <col width="15" customWidth="1" min="5" max="5"/>
    <col width="16" customWidth="1" min="6" max="6"/>
    <col width="15" customWidth="1" min="7" max="7"/>
    <col width="20" customWidth="1" min="8" max="8"/>
    <col width="14" customWidth="1" min="9" max="9"/>
  </cols>
  <sheetData>
    <row r="1" ht="30" customHeight="1">
      <c r="A1" s="1" t="inlineStr">
        <is>
          <t>📋 Equipment Inventory</t>
        </is>
      </c>
    </row>
    <row r="2" ht="18" customHeight="1">
      <c r="A2" s="2" t="inlineStr">
        <is>
          <t>Track all equipment and vehicles in your fleet</t>
        </is>
      </c>
    </row>
    <row r="4" ht="28" customHeight="1">
      <c r="A4" s="3" t="inlineStr">
        <is>
          <t>ID#</t>
        </is>
      </c>
      <c r="B4" s="3" t="inlineStr">
        <is>
          <t>Description</t>
        </is>
      </c>
      <c r="C4" s="3" t="inlineStr">
        <is>
          <t>Make / Model</t>
        </is>
      </c>
      <c r="D4" s="3" t="inlineStr">
        <is>
          <t>Serial #</t>
        </is>
      </c>
      <c r="E4" s="3" t="inlineStr">
        <is>
          <t>Purchase Date</t>
        </is>
      </c>
      <c r="F4" s="3" t="inlineStr">
        <is>
          <t>Purchase Price</t>
        </is>
      </c>
      <c r="G4" s="3" t="inlineStr">
        <is>
          <t>Warranty Exp.</t>
        </is>
      </c>
      <c r="H4" s="3" t="inlineStr">
        <is>
          <t>Location</t>
        </is>
      </c>
      <c r="I4" s="3" t="inlineStr">
        <is>
          <t>Status</t>
        </is>
      </c>
    </row>
    <row r="5">
      <c r="A5" s="4" t="inlineStr">
        <is>
          <t>EQ-001</t>
        </is>
      </c>
      <c r="B5" s="5" t="n"/>
      <c r="C5" s="5" t="n"/>
      <c r="D5" s="5" t="n"/>
      <c r="E5" s="6" t="n"/>
      <c r="F5" s="7" t="n"/>
      <c r="G5" s="6" t="n"/>
      <c r="H5" s="5" t="n"/>
      <c r="I5" s="5" t="n"/>
    </row>
    <row r="6">
      <c r="A6" s="8" t="inlineStr">
        <is>
          <t>EQ-002</t>
        </is>
      </c>
      <c r="B6" s="9" t="n"/>
      <c r="C6" s="9" t="n"/>
      <c r="D6" s="9" t="n"/>
      <c r="E6" s="10" t="n"/>
      <c r="F6" s="11" t="n"/>
      <c r="G6" s="10" t="n"/>
      <c r="H6" s="9" t="n"/>
      <c r="I6" s="9" t="n"/>
    </row>
    <row r="7">
      <c r="A7" s="4" t="inlineStr">
        <is>
          <t>EQ-003</t>
        </is>
      </c>
      <c r="B7" s="5" t="n"/>
      <c r="C7" s="5" t="n"/>
      <c r="D7" s="5" t="n"/>
      <c r="E7" s="6" t="n"/>
      <c r="F7" s="7" t="n"/>
      <c r="G7" s="6" t="n"/>
      <c r="H7" s="5" t="n"/>
      <c r="I7" s="5" t="n"/>
    </row>
    <row r="8">
      <c r="A8" s="8" t="inlineStr">
        <is>
          <t>EQ-004</t>
        </is>
      </c>
      <c r="B8" s="9" t="n"/>
      <c r="C8" s="9" t="n"/>
      <c r="D8" s="9" t="n"/>
      <c r="E8" s="10" t="n"/>
      <c r="F8" s="11" t="n"/>
      <c r="G8" s="10" t="n"/>
      <c r="H8" s="9" t="n"/>
      <c r="I8" s="9" t="n"/>
    </row>
    <row r="9">
      <c r="A9" s="4" t="inlineStr">
        <is>
          <t>EQ-005</t>
        </is>
      </c>
      <c r="B9" s="5" t="n"/>
      <c r="C9" s="5" t="n"/>
      <c r="D9" s="5" t="n"/>
      <c r="E9" s="6" t="n"/>
      <c r="F9" s="7" t="n"/>
      <c r="G9" s="6" t="n"/>
      <c r="H9" s="5" t="n"/>
      <c r="I9" s="5" t="n"/>
    </row>
    <row r="10">
      <c r="A10" s="8" t="inlineStr">
        <is>
          <t>EQ-006</t>
        </is>
      </c>
      <c r="B10" s="9" t="n"/>
      <c r="C10" s="9" t="n"/>
      <c r="D10" s="9" t="n"/>
      <c r="E10" s="10" t="n"/>
      <c r="F10" s="11" t="n"/>
      <c r="G10" s="10" t="n"/>
      <c r="H10" s="9" t="n"/>
      <c r="I10" s="9" t="n"/>
    </row>
    <row r="11">
      <c r="A11" s="4" t="inlineStr">
        <is>
          <t>EQ-007</t>
        </is>
      </c>
      <c r="B11" s="5" t="n"/>
      <c r="C11" s="5" t="n"/>
      <c r="D11" s="5" t="n"/>
      <c r="E11" s="6" t="n"/>
      <c r="F11" s="7" t="n"/>
      <c r="G11" s="6" t="n"/>
      <c r="H11" s="5" t="n"/>
      <c r="I11" s="5" t="n"/>
    </row>
    <row r="12">
      <c r="A12" s="8" t="inlineStr">
        <is>
          <t>EQ-008</t>
        </is>
      </c>
      <c r="B12" s="9" t="n"/>
      <c r="C12" s="9" t="n"/>
      <c r="D12" s="9" t="n"/>
      <c r="E12" s="10" t="n"/>
      <c r="F12" s="11" t="n"/>
      <c r="G12" s="10" t="n"/>
      <c r="H12" s="9" t="n"/>
      <c r="I12" s="9" t="n"/>
    </row>
    <row r="13">
      <c r="A13" s="4" t="inlineStr">
        <is>
          <t>EQ-009</t>
        </is>
      </c>
      <c r="B13" s="5" t="n"/>
      <c r="C13" s="5" t="n"/>
      <c r="D13" s="5" t="n"/>
      <c r="E13" s="6" t="n"/>
      <c r="F13" s="7" t="n"/>
      <c r="G13" s="6" t="n"/>
      <c r="H13" s="5" t="n"/>
      <c r="I13" s="5" t="n"/>
    </row>
    <row r="14">
      <c r="A14" s="8" t="inlineStr">
        <is>
          <t>EQ-010</t>
        </is>
      </c>
      <c r="B14" s="9" t="n"/>
      <c r="C14" s="9" t="n"/>
      <c r="D14" s="9" t="n"/>
      <c r="E14" s="10" t="n"/>
      <c r="F14" s="11" t="n"/>
      <c r="G14" s="10" t="n"/>
      <c r="H14" s="9" t="n"/>
      <c r="I14" s="9" t="n"/>
    </row>
    <row r="15">
      <c r="A15" s="4" t="inlineStr">
        <is>
          <t>EQ-011</t>
        </is>
      </c>
      <c r="B15" s="5" t="n"/>
      <c r="C15" s="5" t="n"/>
      <c r="D15" s="5" t="n"/>
      <c r="E15" s="6" t="n"/>
      <c r="F15" s="7" t="n"/>
      <c r="G15" s="6" t="n"/>
      <c r="H15" s="5" t="n"/>
      <c r="I15" s="5" t="n"/>
    </row>
    <row r="16">
      <c r="A16" s="8" t="inlineStr">
        <is>
          <t>EQ-012</t>
        </is>
      </c>
      <c r="B16" s="9" t="n"/>
      <c r="C16" s="9" t="n"/>
      <c r="D16" s="9" t="n"/>
      <c r="E16" s="10" t="n"/>
      <c r="F16" s="11" t="n"/>
      <c r="G16" s="10" t="n"/>
      <c r="H16" s="9" t="n"/>
      <c r="I16" s="9" t="n"/>
    </row>
    <row r="17">
      <c r="A17" s="4" t="inlineStr">
        <is>
          <t>EQ-013</t>
        </is>
      </c>
      <c r="B17" s="5" t="n"/>
      <c r="C17" s="5" t="n"/>
      <c r="D17" s="5" t="n"/>
      <c r="E17" s="6" t="n"/>
      <c r="F17" s="7" t="n"/>
      <c r="G17" s="6" t="n"/>
      <c r="H17" s="5" t="n"/>
      <c r="I17" s="5" t="n"/>
    </row>
    <row r="18">
      <c r="A18" s="8" t="inlineStr">
        <is>
          <t>EQ-014</t>
        </is>
      </c>
      <c r="B18" s="9" t="n"/>
      <c r="C18" s="9" t="n"/>
      <c r="D18" s="9" t="n"/>
      <c r="E18" s="10" t="n"/>
      <c r="F18" s="11" t="n"/>
      <c r="G18" s="10" t="n"/>
      <c r="H18" s="9" t="n"/>
      <c r="I18" s="9" t="n"/>
    </row>
    <row r="19">
      <c r="A19" s="4" t="inlineStr">
        <is>
          <t>EQ-015</t>
        </is>
      </c>
      <c r="B19" s="5" t="n"/>
      <c r="C19" s="5" t="n"/>
      <c r="D19" s="5" t="n"/>
      <c r="E19" s="6" t="n"/>
      <c r="F19" s="7" t="n"/>
      <c r="G19" s="6" t="n"/>
      <c r="H19" s="5" t="n"/>
      <c r="I19" s="5" t="n"/>
    </row>
    <row r="20">
      <c r="A20" s="8" t="inlineStr">
        <is>
          <t>EQ-016</t>
        </is>
      </c>
      <c r="B20" s="9" t="n"/>
      <c r="C20" s="9" t="n"/>
      <c r="D20" s="9" t="n"/>
      <c r="E20" s="10" t="n"/>
      <c r="F20" s="11" t="n"/>
      <c r="G20" s="10" t="n"/>
      <c r="H20" s="9" t="n"/>
      <c r="I20" s="9" t="n"/>
    </row>
    <row r="21">
      <c r="A21" s="4" t="inlineStr">
        <is>
          <t>EQ-017</t>
        </is>
      </c>
      <c r="B21" s="5" t="n"/>
      <c r="C21" s="5" t="n"/>
      <c r="D21" s="5" t="n"/>
      <c r="E21" s="6" t="n"/>
      <c r="F21" s="7" t="n"/>
      <c r="G21" s="6" t="n"/>
      <c r="H21" s="5" t="n"/>
      <c r="I21" s="5" t="n"/>
    </row>
    <row r="22">
      <c r="A22" s="8" t="inlineStr">
        <is>
          <t>EQ-018</t>
        </is>
      </c>
      <c r="B22" s="9" t="n"/>
      <c r="C22" s="9" t="n"/>
      <c r="D22" s="9" t="n"/>
      <c r="E22" s="10" t="n"/>
      <c r="F22" s="11" t="n"/>
      <c r="G22" s="10" t="n"/>
      <c r="H22" s="9" t="n"/>
      <c r="I22" s="9" t="n"/>
    </row>
    <row r="23">
      <c r="A23" s="4" t="inlineStr">
        <is>
          <t>EQ-019</t>
        </is>
      </c>
      <c r="B23" s="5" t="n"/>
      <c r="C23" s="5" t="n"/>
      <c r="D23" s="5" t="n"/>
      <c r="E23" s="6" t="n"/>
      <c r="F23" s="7" t="n"/>
      <c r="G23" s="6" t="n"/>
      <c r="H23" s="5" t="n"/>
      <c r="I23" s="5" t="n"/>
    </row>
    <row r="24">
      <c r="A24" s="8" t="inlineStr">
        <is>
          <t>EQ-020</t>
        </is>
      </c>
      <c r="B24" s="9" t="n"/>
      <c r="C24" s="9" t="n"/>
      <c r="D24" s="9" t="n"/>
      <c r="E24" s="10" t="n"/>
      <c r="F24" s="11" t="n"/>
      <c r="G24" s="10" t="n"/>
      <c r="H24" s="9" t="n"/>
      <c r="I24" s="9" t="n"/>
    </row>
    <row r="25">
      <c r="A25" s="4" t="inlineStr">
        <is>
          <t>EQ-021</t>
        </is>
      </c>
      <c r="B25" s="5" t="n"/>
      <c r="C25" s="5" t="n"/>
      <c r="D25" s="5" t="n"/>
      <c r="E25" s="6" t="n"/>
      <c r="F25" s="7" t="n"/>
      <c r="G25" s="6" t="n"/>
      <c r="H25" s="5" t="n"/>
      <c r="I25" s="5" t="n"/>
    </row>
    <row r="26">
      <c r="A26" s="8" t="inlineStr">
        <is>
          <t>EQ-022</t>
        </is>
      </c>
      <c r="B26" s="9" t="n"/>
      <c r="C26" s="9" t="n"/>
      <c r="D26" s="9" t="n"/>
      <c r="E26" s="10" t="n"/>
      <c r="F26" s="11" t="n"/>
      <c r="G26" s="10" t="n"/>
      <c r="H26" s="9" t="n"/>
      <c r="I26" s="9" t="n"/>
    </row>
    <row r="27">
      <c r="A27" s="4" t="inlineStr">
        <is>
          <t>EQ-023</t>
        </is>
      </c>
      <c r="B27" s="5" t="n"/>
      <c r="C27" s="5" t="n"/>
      <c r="D27" s="5" t="n"/>
      <c r="E27" s="6" t="n"/>
      <c r="F27" s="7" t="n"/>
      <c r="G27" s="6" t="n"/>
      <c r="H27" s="5" t="n"/>
      <c r="I27" s="5" t="n"/>
    </row>
    <row r="28">
      <c r="A28" s="8" t="inlineStr">
        <is>
          <t>EQ-024</t>
        </is>
      </c>
      <c r="B28" s="9" t="n"/>
      <c r="C28" s="9" t="n"/>
      <c r="D28" s="9" t="n"/>
      <c r="E28" s="10" t="n"/>
      <c r="F28" s="11" t="n"/>
      <c r="G28" s="10" t="n"/>
      <c r="H28" s="9" t="n"/>
      <c r="I28" s="9" t="n"/>
    </row>
    <row r="29">
      <c r="A29" s="4" t="inlineStr">
        <is>
          <t>EQ-025</t>
        </is>
      </c>
      <c r="B29" s="5" t="n"/>
      <c r="C29" s="5" t="n"/>
      <c r="D29" s="5" t="n"/>
      <c r="E29" s="6" t="n"/>
      <c r="F29" s="7" t="n"/>
      <c r="G29" s="6" t="n"/>
      <c r="H29" s="5" t="n"/>
      <c r="I29" s="5" t="n"/>
    </row>
    <row r="30">
      <c r="A30" s="8" t="inlineStr">
        <is>
          <t>EQ-026</t>
        </is>
      </c>
      <c r="B30" s="9" t="n"/>
      <c r="C30" s="9" t="n"/>
      <c r="D30" s="9" t="n"/>
      <c r="E30" s="10" t="n"/>
      <c r="F30" s="11" t="n"/>
      <c r="G30" s="10" t="n"/>
      <c r="H30" s="9" t="n"/>
      <c r="I30" s="9" t="n"/>
    </row>
    <row r="31">
      <c r="A31" s="4" t="inlineStr">
        <is>
          <t>EQ-027</t>
        </is>
      </c>
      <c r="B31" s="5" t="n"/>
      <c r="C31" s="5" t="n"/>
      <c r="D31" s="5" t="n"/>
      <c r="E31" s="6" t="n"/>
      <c r="F31" s="7" t="n"/>
      <c r="G31" s="6" t="n"/>
      <c r="H31" s="5" t="n"/>
      <c r="I31" s="5" t="n"/>
    </row>
    <row r="32">
      <c r="A32" s="8" t="inlineStr">
        <is>
          <t>EQ-028</t>
        </is>
      </c>
      <c r="B32" s="9" t="n"/>
      <c r="C32" s="9" t="n"/>
      <c r="D32" s="9" t="n"/>
      <c r="E32" s="10" t="n"/>
      <c r="F32" s="11" t="n"/>
      <c r="G32" s="10" t="n"/>
      <c r="H32" s="9" t="n"/>
      <c r="I32" s="9" t="n"/>
    </row>
    <row r="33">
      <c r="A33" s="4" t="inlineStr">
        <is>
          <t>EQ-029</t>
        </is>
      </c>
      <c r="B33" s="5" t="n"/>
      <c r="C33" s="5" t="n"/>
      <c r="D33" s="5" t="n"/>
      <c r="E33" s="6" t="n"/>
      <c r="F33" s="7" t="n"/>
      <c r="G33" s="6" t="n"/>
      <c r="H33" s="5" t="n"/>
      <c r="I33" s="5" t="n"/>
    </row>
    <row r="34">
      <c r="A34" s="8" t="inlineStr">
        <is>
          <t>EQ-030</t>
        </is>
      </c>
      <c r="B34" s="9" t="n"/>
      <c r="C34" s="9" t="n"/>
      <c r="D34" s="9" t="n"/>
      <c r="E34" s="10" t="n"/>
      <c r="F34" s="11" t="n"/>
      <c r="G34" s="10" t="n"/>
      <c r="H34" s="9" t="n"/>
      <c r="I34" s="9" t="n"/>
    </row>
  </sheetData>
  <mergeCells count="2">
    <mergeCell ref="A1:I1"/>
    <mergeCell ref="A2:I2"/>
  </mergeCells>
  <dataValidations count="1">
    <dataValidation sqref="I5:I34" showDropDown="0" showInputMessage="0" showErrorMessage="0" allowBlank="1" errorTitle="Invalid Status" error="Please select Active, In Repair, or Retired" type="list">
      <formula1>"Active,In Repair,Retired"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I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5" customWidth="1" min="4" max="4"/>
    <col width="25" customWidth="1" min="5" max="5"/>
    <col width="13" customWidth="1" min="6" max="6"/>
    <col width="14" customWidth="1" min="7" max="7"/>
    <col width="16" customWidth="1" min="8" max="8"/>
    <col width="18" customWidth="1" min="9" max="9"/>
  </cols>
  <sheetData>
    <row r="1" ht="30" customHeight="1">
      <c r="A1" s="1" t="inlineStr">
        <is>
          <t>🔧 Maintenance Log</t>
        </is>
      </c>
    </row>
    <row r="2" ht="18" customHeight="1">
      <c r="A2" s="2" t="inlineStr">
        <is>
          <t>Record every maintenance activity — costs auto-total below</t>
        </is>
      </c>
    </row>
    <row r="4" ht="28" customHeight="1">
      <c r="A4" s="3" t="inlineStr">
        <is>
          <t>Date</t>
        </is>
      </c>
      <c r="B4" s="3" t="inlineStr">
        <is>
          <t>Equipment ID</t>
        </is>
      </c>
      <c r="C4" s="3" t="inlineStr">
        <is>
          <t>Type</t>
        </is>
      </c>
      <c r="D4" s="3" t="inlineStr">
        <is>
          <t>Description</t>
        </is>
      </c>
      <c r="E4" s="3" t="inlineStr">
        <is>
          <t>Parts Used</t>
        </is>
      </c>
      <c r="F4" s="3" t="inlineStr">
        <is>
          <t>Labor Hours</t>
        </is>
      </c>
      <c r="G4" s="3" t="inlineStr">
        <is>
          <t>Total Cost</t>
        </is>
      </c>
      <c r="H4" s="3" t="inlineStr">
        <is>
          <t>Next Service Date</t>
        </is>
      </c>
      <c r="I4" s="3" t="inlineStr">
        <is>
          <t>Technician</t>
        </is>
      </c>
    </row>
    <row r="5">
      <c r="A5" s="12" t="n"/>
      <c r="B5" s="5" t="n"/>
      <c r="C5" s="5" t="n"/>
      <c r="D5" s="5" t="n"/>
      <c r="E5" s="5" t="n"/>
      <c r="F5" s="13" t="n"/>
      <c r="G5" s="7" t="n"/>
      <c r="H5" s="6" t="n"/>
      <c r="I5" s="5" t="n"/>
    </row>
    <row r="6">
      <c r="A6" s="14" t="n"/>
      <c r="B6" s="9" t="n"/>
      <c r="C6" s="9" t="n"/>
      <c r="D6" s="9" t="n"/>
      <c r="E6" s="9" t="n"/>
      <c r="F6" s="15" t="n"/>
      <c r="G6" s="11" t="n"/>
      <c r="H6" s="10" t="n"/>
      <c r="I6" s="9" t="n"/>
    </row>
    <row r="7">
      <c r="A7" s="12" t="n"/>
      <c r="B7" s="5" t="n"/>
      <c r="C7" s="5" t="n"/>
      <c r="D7" s="5" t="n"/>
      <c r="E7" s="5" t="n"/>
      <c r="F7" s="13" t="n"/>
      <c r="G7" s="7" t="n"/>
      <c r="H7" s="6" t="n"/>
      <c r="I7" s="5" t="n"/>
    </row>
    <row r="8">
      <c r="A8" s="14" t="n"/>
      <c r="B8" s="9" t="n"/>
      <c r="C8" s="9" t="n"/>
      <c r="D8" s="9" t="n"/>
      <c r="E8" s="9" t="n"/>
      <c r="F8" s="15" t="n"/>
      <c r="G8" s="11" t="n"/>
      <c r="H8" s="10" t="n"/>
      <c r="I8" s="9" t="n"/>
    </row>
    <row r="9">
      <c r="A9" s="12" t="n"/>
      <c r="B9" s="5" t="n"/>
      <c r="C9" s="5" t="n"/>
      <c r="D9" s="5" t="n"/>
      <c r="E9" s="5" t="n"/>
      <c r="F9" s="13" t="n"/>
      <c r="G9" s="7" t="n"/>
      <c r="H9" s="6" t="n"/>
      <c r="I9" s="5" t="n"/>
    </row>
    <row r="10">
      <c r="A10" s="14" t="n"/>
      <c r="B10" s="9" t="n"/>
      <c r="C10" s="9" t="n"/>
      <c r="D10" s="9" t="n"/>
      <c r="E10" s="9" t="n"/>
      <c r="F10" s="15" t="n"/>
      <c r="G10" s="11" t="n"/>
      <c r="H10" s="10" t="n"/>
      <c r="I10" s="9" t="n"/>
    </row>
    <row r="11">
      <c r="A11" s="12" t="n"/>
      <c r="B11" s="5" t="n"/>
      <c r="C11" s="5" t="n"/>
      <c r="D11" s="5" t="n"/>
      <c r="E11" s="5" t="n"/>
      <c r="F11" s="13" t="n"/>
      <c r="G11" s="7" t="n"/>
      <c r="H11" s="6" t="n"/>
      <c r="I11" s="5" t="n"/>
    </row>
    <row r="12">
      <c r="A12" s="14" t="n"/>
      <c r="B12" s="9" t="n"/>
      <c r="C12" s="9" t="n"/>
      <c r="D12" s="9" t="n"/>
      <c r="E12" s="9" t="n"/>
      <c r="F12" s="15" t="n"/>
      <c r="G12" s="11" t="n"/>
      <c r="H12" s="10" t="n"/>
      <c r="I12" s="9" t="n"/>
    </row>
    <row r="13">
      <c r="A13" s="12" t="n"/>
      <c r="B13" s="5" t="n"/>
      <c r="C13" s="5" t="n"/>
      <c r="D13" s="5" t="n"/>
      <c r="E13" s="5" t="n"/>
      <c r="F13" s="13" t="n"/>
      <c r="G13" s="7" t="n"/>
      <c r="H13" s="6" t="n"/>
      <c r="I13" s="5" t="n"/>
    </row>
    <row r="14">
      <c r="A14" s="14" t="n"/>
      <c r="B14" s="9" t="n"/>
      <c r="C14" s="9" t="n"/>
      <c r="D14" s="9" t="n"/>
      <c r="E14" s="9" t="n"/>
      <c r="F14" s="15" t="n"/>
      <c r="G14" s="11" t="n"/>
      <c r="H14" s="10" t="n"/>
      <c r="I14" s="9" t="n"/>
    </row>
    <row r="15">
      <c r="A15" s="12" t="n"/>
      <c r="B15" s="5" t="n"/>
      <c r="C15" s="5" t="n"/>
      <c r="D15" s="5" t="n"/>
      <c r="E15" s="5" t="n"/>
      <c r="F15" s="13" t="n"/>
      <c r="G15" s="7" t="n"/>
      <c r="H15" s="6" t="n"/>
      <c r="I15" s="5" t="n"/>
    </row>
    <row r="16">
      <c r="A16" s="14" t="n"/>
      <c r="B16" s="9" t="n"/>
      <c r="C16" s="9" t="n"/>
      <c r="D16" s="9" t="n"/>
      <c r="E16" s="9" t="n"/>
      <c r="F16" s="15" t="n"/>
      <c r="G16" s="11" t="n"/>
      <c r="H16" s="10" t="n"/>
      <c r="I16" s="9" t="n"/>
    </row>
    <row r="17">
      <c r="A17" s="12" t="n"/>
      <c r="B17" s="5" t="n"/>
      <c r="C17" s="5" t="n"/>
      <c r="D17" s="5" t="n"/>
      <c r="E17" s="5" t="n"/>
      <c r="F17" s="13" t="n"/>
      <c r="G17" s="7" t="n"/>
      <c r="H17" s="6" t="n"/>
      <c r="I17" s="5" t="n"/>
    </row>
    <row r="18">
      <c r="A18" s="14" t="n"/>
      <c r="B18" s="9" t="n"/>
      <c r="C18" s="9" t="n"/>
      <c r="D18" s="9" t="n"/>
      <c r="E18" s="9" t="n"/>
      <c r="F18" s="15" t="n"/>
      <c r="G18" s="11" t="n"/>
      <c r="H18" s="10" t="n"/>
      <c r="I18" s="9" t="n"/>
    </row>
    <row r="19">
      <c r="A19" s="12" t="n"/>
      <c r="B19" s="5" t="n"/>
      <c r="C19" s="5" t="n"/>
      <c r="D19" s="5" t="n"/>
      <c r="E19" s="5" t="n"/>
      <c r="F19" s="13" t="n"/>
      <c r="G19" s="7" t="n"/>
      <c r="H19" s="6" t="n"/>
      <c r="I19" s="5" t="n"/>
    </row>
    <row r="20">
      <c r="A20" s="14" t="n"/>
      <c r="B20" s="9" t="n"/>
      <c r="C20" s="9" t="n"/>
      <c r="D20" s="9" t="n"/>
      <c r="E20" s="9" t="n"/>
      <c r="F20" s="15" t="n"/>
      <c r="G20" s="11" t="n"/>
      <c r="H20" s="10" t="n"/>
      <c r="I20" s="9" t="n"/>
    </row>
    <row r="21">
      <c r="A21" s="12" t="n"/>
      <c r="B21" s="5" t="n"/>
      <c r="C21" s="5" t="n"/>
      <c r="D21" s="5" t="n"/>
      <c r="E21" s="5" t="n"/>
      <c r="F21" s="13" t="n"/>
      <c r="G21" s="7" t="n"/>
      <c r="H21" s="6" t="n"/>
      <c r="I21" s="5" t="n"/>
    </row>
    <row r="22">
      <c r="A22" s="14" t="n"/>
      <c r="B22" s="9" t="n"/>
      <c r="C22" s="9" t="n"/>
      <c r="D22" s="9" t="n"/>
      <c r="E22" s="9" t="n"/>
      <c r="F22" s="15" t="n"/>
      <c r="G22" s="11" t="n"/>
      <c r="H22" s="10" t="n"/>
      <c r="I22" s="9" t="n"/>
    </row>
    <row r="23">
      <c r="A23" s="12" t="n"/>
      <c r="B23" s="5" t="n"/>
      <c r="C23" s="5" t="n"/>
      <c r="D23" s="5" t="n"/>
      <c r="E23" s="5" t="n"/>
      <c r="F23" s="13" t="n"/>
      <c r="G23" s="7" t="n"/>
      <c r="H23" s="6" t="n"/>
      <c r="I23" s="5" t="n"/>
    </row>
    <row r="24">
      <c r="A24" s="14" t="n"/>
      <c r="B24" s="9" t="n"/>
      <c r="C24" s="9" t="n"/>
      <c r="D24" s="9" t="n"/>
      <c r="E24" s="9" t="n"/>
      <c r="F24" s="15" t="n"/>
      <c r="G24" s="11" t="n"/>
      <c r="H24" s="10" t="n"/>
      <c r="I24" s="9" t="n"/>
    </row>
    <row r="25">
      <c r="A25" s="12" t="n"/>
      <c r="B25" s="5" t="n"/>
      <c r="C25" s="5" t="n"/>
      <c r="D25" s="5" t="n"/>
      <c r="E25" s="5" t="n"/>
      <c r="F25" s="13" t="n"/>
      <c r="G25" s="7" t="n"/>
      <c r="H25" s="6" t="n"/>
      <c r="I25" s="5" t="n"/>
    </row>
    <row r="26">
      <c r="A26" s="14" t="n"/>
      <c r="B26" s="9" t="n"/>
      <c r="C26" s="9" t="n"/>
      <c r="D26" s="9" t="n"/>
      <c r="E26" s="9" t="n"/>
      <c r="F26" s="15" t="n"/>
      <c r="G26" s="11" t="n"/>
      <c r="H26" s="10" t="n"/>
      <c r="I26" s="9" t="n"/>
    </row>
    <row r="27">
      <c r="A27" s="12" t="n"/>
      <c r="B27" s="5" t="n"/>
      <c r="C27" s="5" t="n"/>
      <c r="D27" s="5" t="n"/>
      <c r="E27" s="5" t="n"/>
      <c r="F27" s="13" t="n"/>
      <c r="G27" s="7" t="n"/>
      <c r="H27" s="6" t="n"/>
      <c r="I27" s="5" t="n"/>
    </row>
    <row r="28">
      <c r="A28" s="14" t="n"/>
      <c r="B28" s="9" t="n"/>
      <c r="C28" s="9" t="n"/>
      <c r="D28" s="9" t="n"/>
      <c r="E28" s="9" t="n"/>
      <c r="F28" s="15" t="n"/>
      <c r="G28" s="11" t="n"/>
      <c r="H28" s="10" t="n"/>
      <c r="I28" s="9" t="n"/>
    </row>
    <row r="29">
      <c r="A29" s="12" t="n"/>
      <c r="B29" s="5" t="n"/>
      <c r="C29" s="5" t="n"/>
      <c r="D29" s="5" t="n"/>
      <c r="E29" s="5" t="n"/>
      <c r="F29" s="13" t="n"/>
      <c r="G29" s="7" t="n"/>
      <c r="H29" s="6" t="n"/>
      <c r="I29" s="5" t="n"/>
    </row>
    <row r="30">
      <c r="A30" s="14" t="n"/>
      <c r="B30" s="9" t="n"/>
      <c r="C30" s="9" t="n"/>
      <c r="D30" s="9" t="n"/>
      <c r="E30" s="9" t="n"/>
      <c r="F30" s="15" t="n"/>
      <c r="G30" s="11" t="n"/>
      <c r="H30" s="10" t="n"/>
      <c r="I30" s="9" t="n"/>
    </row>
    <row r="31">
      <c r="A31" s="12" t="n"/>
      <c r="B31" s="5" t="n"/>
      <c r="C31" s="5" t="n"/>
      <c r="D31" s="5" t="n"/>
      <c r="E31" s="5" t="n"/>
      <c r="F31" s="13" t="n"/>
      <c r="G31" s="7" t="n"/>
      <c r="H31" s="6" t="n"/>
      <c r="I31" s="5" t="n"/>
    </row>
    <row r="32">
      <c r="A32" s="14" t="n"/>
      <c r="B32" s="9" t="n"/>
      <c r="C32" s="9" t="n"/>
      <c r="D32" s="9" t="n"/>
      <c r="E32" s="9" t="n"/>
      <c r="F32" s="15" t="n"/>
      <c r="G32" s="11" t="n"/>
      <c r="H32" s="10" t="n"/>
      <c r="I32" s="9" t="n"/>
    </row>
    <row r="33">
      <c r="A33" s="12" t="n"/>
      <c r="B33" s="5" t="n"/>
      <c r="C33" s="5" t="n"/>
      <c r="D33" s="5" t="n"/>
      <c r="E33" s="5" t="n"/>
      <c r="F33" s="13" t="n"/>
      <c r="G33" s="7" t="n"/>
      <c r="H33" s="6" t="n"/>
      <c r="I33" s="5" t="n"/>
    </row>
    <row r="34">
      <c r="A34" s="14" t="n"/>
      <c r="B34" s="9" t="n"/>
      <c r="C34" s="9" t="n"/>
      <c r="D34" s="9" t="n"/>
      <c r="E34" s="9" t="n"/>
      <c r="F34" s="15" t="n"/>
      <c r="G34" s="11" t="n"/>
      <c r="H34" s="10" t="n"/>
      <c r="I34" s="9" t="n"/>
    </row>
    <row r="35">
      <c r="A35" s="12" t="n"/>
      <c r="B35" s="5" t="n"/>
      <c r="C35" s="5" t="n"/>
      <c r="D35" s="5" t="n"/>
      <c r="E35" s="5" t="n"/>
      <c r="F35" s="13" t="n"/>
      <c r="G35" s="7" t="n"/>
      <c r="H35" s="6" t="n"/>
      <c r="I35" s="5" t="n"/>
    </row>
    <row r="36">
      <c r="A36" s="14" t="n"/>
      <c r="B36" s="9" t="n"/>
      <c r="C36" s="9" t="n"/>
      <c r="D36" s="9" t="n"/>
      <c r="E36" s="9" t="n"/>
      <c r="F36" s="15" t="n"/>
      <c r="G36" s="11" t="n"/>
      <c r="H36" s="10" t="n"/>
      <c r="I36" s="9" t="n"/>
    </row>
    <row r="37">
      <c r="A37" s="12" t="n"/>
      <c r="B37" s="5" t="n"/>
      <c r="C37" s="5" t="n"/>
      <c r="D37" s="5" t="n"/>
      <c r="E37" s="5" t="n"/>
      <c r="F37" s="13" t="n"/>
      <c r="G37" s="7" t="n"/>
      <c r="H37" s="6" t="n"/>
      <c r="I37" s="5" t="n"/>
    </row>
    <row r="38">
      <c r="A38" s="14" t="n"/>
      <c r="B38" s="9" t="n"/>
      <c r="C38" s="9" t="n"/>
      <c r="D38" s="9" t="n"/>
      <c r="E38" s="9" t="n"/>
      <c r="F38" s="15" t="n"/>
      <c r="G38" s="11" t="n"/>
      <c r="H38" s="10" t="n"/>
      <c r="I38" s="9" t="n"/>
    </row>
    <row r="39">
      <c r="A39" s="12" t="n"/>
      <c r="B39" s="5" t="n"/>
      <c r="C39" s="5" t="n"/>
      <c r="D39" s="5" t="n"/>
      <c r="E39" s="5" t="n"/>
      <c r="F39" s="13" t="n"/>
      <c r="G39" s="7" t="n"/>
      <c r="H39" s="6" t="n"/>
      <c r="I39" s="5" t="n"/>
    </row>
    <row r="40">
      <c r="A40" s="14" t="n"/>
      <c r="B40" s="9" t="n"/>
      <c r="C40" s="9" t="n"/>
      <c r="D40" s="9" t="n"/>
      <c r="E40" s="9" t="n"/>
      <c r="F40" s="15" t="n"/>
      <c r="G40" s="11" t="n"/>
      <c r="H40" s="10" t="n"/>
      <c r="I40" s="9" t="n"/>
    </row>
    <row r="41">
      <c r="A41" s="12" t="n"/>
      <c r="B41" s="5" t="n"/>
      <c r="C41" s="5" t="n"/>
      <c r="D41" s="5" t="n"/>
      <c r="E41" s="5" t="n"/>
      <c r="F41" s="13" t="n"/>
      <c r="G41" s="7" t="n"/>
      <c r="H41" s="6" t="n"/>
      <c r="I41" s="5" t="n"/>
    </row>
    <row r="42">
      <c r="A42" s="14" t="n"/>
      <c r="B42" s="9" t="n"/>
      <c r="C42" s="9" t="n"/>
      <c r="D42" s="9" t="n"/>
      <c r="E42" s="9" t="n"/>
      <c r="F42" s="15" t="n"/>
      <c r="G42" s="11" t="n"/>
      <c r="H42" s="10" t="n"/>
      <c r="I42" s="9" t="n"/>
    </row>
    <row r="43">
      <c r="A43" s="12" t="n"/>
      <c r="B43" s="5" t="n"/>
      <c r="C43" s="5" t="n"/>
      <c r="D43" s="5" t="n"/>
      <c r="E43" s="5" t="n"/>
      <c r="F43" s="13" t="n"/>
      <c r="G43" s="7" t="n"/>
      <c r="H43" s="6" t="n"/>
      <c r="I43" s="5" t="n"/>
    </row>
    <row r="44">
      <c r="A44" s="14" t="n"/>
      <c r="B44" s="9" t="n"/>
      <c r="C44" s="9" t="n"/>
      <c r="D44" s="9" t="n"/>
      <c r="E44" s="9" t="n"/>
      <c r="F44" s="15" t="n"/>
      <c r="G44" s="11" t="n"/>
      <c r="H44" s="10" t="n"/>
      <c r="I44" s="9" t="n"/>
    </row>
    <row r="45">
      <c r="A45" s="12" t="n"/>
      <c r="B45" s="5" t="n"/>
      <c r="C45" s="5" t="n"/>
      <c r="D45" s="5" t="n"/>
      <c r="E45" s="5" t="n"/>
      <c r="F45" s="13" t="n"/>
      <c r="G45" s="7" t="n"/>
      <c r="H45" s="6" t="n"/>
      <c r="I45" s="5" t="n"/>
    </row>
    <row r="46">
      <c r="A46" s="14" t="n"/>
      <c r="B46" s="9" t="n"/>
      <c r="C46" s="9" t="n"/>
      <c r="D46" s="9" t="n"/>
      <c r="E46" s="9" t="n"/>
      <c r="F46" s="15" t="n"/>
      <c r="G46" s="11" t="n"/>
      <c r="H46" s="10" t="n"/>
      <c r="I46" s="9" t="n"/>
    </row>
    <row r="47">
      <c r="A47" s="12" t="n"/>
      <c r="B47" s="5" t="n"/>
      <c r="C47" s="5" t="n"/>
      <c r="D47" s="5" t="n"/>
      <c r="E47" s="5" t="n"/>
      <c r="F47" s="13" t="n"/>
      <c r="G47" s="7" t="n"/>
      <c r="H47" s="6" t="n"/>
      <c r="I47" s="5" t="n"/>
    </row>
    <row r="48">
      <c r="A48" s="14" t="n"/>
      <c r="B48" s="9" t="n"/>
      <c r="C48" s="9" t="n"/>
      <c r="D48" s="9" t="n"/>
      <c r="E48" s="9" t="n"/>
      <c r="F48" s="15" t="n"/>
      <c r="G48" s="11" t="n"/>
      <c r="H48" s="10" t="n"/>
      <c r="I48" s="9" t="n"/>
    </row>
    <row r="49">
      <c r="A49" s="12" t="n"/>
      <c r="B49" s="5" t="n"/>
      <c r="C49" s="5" t="n"/>
      <c r="D49" s="5" t="n"/>
      <c r="E49" s="5" t="n"/>
      <c r="F49" s="13" t="n"/>
      <c r="G49" s="7" t="n"/>
      <c r="H49" s="6" t="n"/>
      <c r="I49" s="5" t="n"/>
    </row>
    <row r="50">
      <c r="A50" s="14" t="n"/>
      <c r="B50" s="9" t="n"/>
      <c r="C50" s="9" t="n"/>
      <c r="D50" s="9" t="n"/>
      <c r="E50" s="9" t="n"/>
      <c r="F50" s="15" t="n"/>
      <c r="G50" s="11" t="n"/>
      <c r="H50" s="10" t="n"/>
      <c r="I50" s="9" t="n"/>
    </row>
    <row r="51">
      <c r="A51" s="12" t="n"/>
      <c r="B51" s="5" t="n"/>
      <c r="C51" s="5" t="n"/>
      <c r="D51" s="5" t="n"/>
      <c r="E51" s="5" t="n"/>
      <c r="F51" s="13" t="n"/>
      <c r="G51" s="7" t="n"/>
      <c r="H51" s="6" t="n"/>
      <c r="I51" s="5" t="n"/>
    </row>
    <row r="52">
      <c r="A52" s="14" t="n"/>
      <c r="B52" s="9" t="n"/>
      <c r="C52" s="9" t="n"/>
      <c r="D52" s="9" t="n"/>
      <c r="E52" s="9" t="n"/>
      <c r="F52" s="15" t="n"/>
      <c r="G52" s="11" t="n"/>
      <c r="H52" s="10" t="n"/>
      <c r="I52" s="9" t="n"/>
    </row>
    <row r="53">
      <c r="A53" s="12" t="n"/>
      <c r="B53" s="5" t="n"/>
      <c r="C53" s="5" t="n"/>
      <c r="D53" s="5" t="n"/>
      <c r="E53" s="5" t="n"/>
      <c r="F53" s="13" t="n"/>
      <c r="G53" s="7" t="n"/>
      <c r="H53" s="6" t="n"/>
      <c r="I53" s="5" t="n"/>
    </row>
    <row r="54">
      <c r="A54" s="14" t="n"/>
      <c r="B54" s="9" t="n"/>
      <c r="C54" s="9" t="n"/>
      <c r="D54" s="9" t="n"/>
      <c r="E54" s="9" t="n"/>
      <c r="F54" s="15" t="n"/>
      <c r="G54" s="11" t="n"/>
      <c r="H54" s="10" t="n"/>
      <c r="I54" s="9" t="n"/>
    </row>
    <row r="55">
      <c r="A55" s="16" t="inlineStr">
        <is>
          <t>TOTAL MAINTENANCE COST</t>
        </is>
      </c>
      <c r="B55" s="17" t="n"/>
      <c r="C55" s="17" t="n"/>
      <c r="D55" s="17" t="n"/>
      <c r="E55" s="17" t="n"/>
      <c r="F55" s="18">
        <f>SUM(F5:F54)</f>
        <v/>
      </c>
      <c r="G55" s="19">
        <f>SUM(G5:G54)</f>
        <v/>
      </c>
      <c r="H55" s="17" t="n"/>
      <c r="I55" s="17" t="n"/>
    </row>
  </sheetData>
  <mergeCells count="3">
    <mergeCell ref="A1:I1"/>
    <mergeCell ref="A55:E55"/>
    <mergeCell ref="A2:I2"/>
  </mergeCells>
  <dataValidations count="2">
    <dataValidation sqref="C5:C54" showDropDown="0" showInputMessage="0" showErrorMessage="0" allowBlank="1" error="Please select Preventive, Repair, or Inspection" type="list">
      <formula1>"Preventive,Repair,Inspection"</formula1>
    </dataValidation>
    <dataValidation sqref="B5:B54" showDropDown="0" showInputMessage="0" showErrorMessage="0" allowBlank="1" type="list">
      <formula1>'Equipment List'!$A$5:$A$34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8" customWidth="1" min="4" max="4"/>
    <col width="18" customWidth="1" min="5" max="5"/>
    <col width="16" customWidth="1" min="6" max="6"/>
    <col width="14" customWidth="1" min="7" max="7"/>
  </cols>
  <sheetData>
    <row r="1" ht="30" customHeight="1">
      <c r="A1" s="1" t="inlineStr">
        <is>
          <t>📅 Service Schedule</t>
        </is>
      </c>
    </row>
    <row r="2" ht="18" customHeight="1">
      <c r="A2" s="2" t="inlineStr">
        <is>
          <t>Auto-calculates due dates — red=overdue, yellow=due soon, green=OK</t>
        </is>
      </c>
    </row>
    <row r="4" ht="28" customHeight="1">
      <c r="A4" s="3" t="inlineStr">
        <is>
          <t>Equipment ID</t>
        </is>
      </c>
      <c r="B4" s="3" t="inlineStr">
        <is>
          <t>Description</t>
        </is>
      </c>
      <c r="C4" s="3" t="inlineStr">
        <is>
          <t>Service Interval (days)</t>
        </is>
      </c>
      <c r="D4" s="3" t="inlineStr">
        <is>
          <t>Last Service Date</t>
        </is>
      </c>
      <c r="E4" s="3" t="inlineStr">
        <is>
          <t>Next Due Date</t>
        </is>
      </c>
      <c r="F4" s="3" t="inlineStr">
        <is>
          <t>Days Until Due</t>
        </is>
      </c>
      <c r="G4" s="3" t="inlineStr">
        <is>
          <t>Status</t>
        </is>
      </c>
    </row>
    <row r="5">
      <c r="A5" s="4" t="inlineStr">
        <is>
          <t>EQ-001</t>
        </is>
      </c>
      <c r="B5" s="5">
        <f>IF('Equipment List'!B5&lt;&gt;"", 'Equipment List'!B5, "")</f>
        <v/>
      </c>
      <c r="C5" s="20" t="n"/>
      <c r="D5" s="6" t="n"/>
      <c r="E5" s="6">
        <f>IF(AND(D5&lt;&gt;"",C5&lt;&gt;""), D5+C5, "")</f>
        <v/>
      </c>
      <c r="F5" s="20">
        <f>IF(E5&lt;&gt;"", E5-TODAY(), "")</f>
        <v/>
      </c>
      <c r="G5" s="5">
        <f>IF(F5="","",IF(F5&lt;0,"OVERDUE",IF(F5&lt;=7,"DUE SOON","OK")))</f>
        <v/>
      </c>
    </row>
    <row r="6">
      <c r="A6" s="8" t="inlineStr">
        <is>
          <t>EQ-002</t>
        </is>
      </c>
      <c r="B6" s="9">
        <f>IF('Equipment List'!B6&lt;&gt;"", 'Equipment List'!B6, "")</f>
        <v/>
      </c>
      <c r="C6" s="21" t="n"/>
      <c r="D6" s="10" t="n"/>
      <c r="E6" s="10">
        <f>IF(AND(D6&lt;&gt;"",C6&lt;&gt;""), D6+C6, "")</f>
        <v/>
      </c>
      <c r="F6" s="21">
        <f>IF(E6&lt;&gt;"", E6-TODAY(), "")</f>
        <v/>
      </c>
      <c r="G6" s="9">
        <f>IF(F6="","",IF(F6&lt;0,"OVERDUE",IF(F6&lt;=7,"DUE SOON","OK")))</f>
        <v/>
      </c>
    </row>
    <row r="7">
      <c r="A7" s="4" t="inlineStr">
        <is>
          <t>EQ-003</t>
        </is>
      </c>
      <c r="B7" s="5">
        <f>IF('Equipment List'!B7&lt;&gt;"", 'Equipment List'!B7, "")</f>
        <v/>
      </c>
      <c r="C7" s="20" t="n"/>
      <c r="D7" s="6" t="n"/>
      <c r="E7" s="6">
        <f>IF(AND(D7&lt;&gt;"",C7&lt;&gt;""), D7+C7, "")</f>
        <v/>
      </c>
      <c r="F7" s="20">
        <f>IF(E7&lt;&gt;"", E7-TODAY(), "")</f>
        <v/>
      </c>
      <c r="G7" s="5">
        <f>IF(F7="","",IF(F7&lt;0,"OVERDUE",IF(F7&lt;=7,"DUE SOON","OK")))</f>
        <v/>
      </c>
    </row>
    <row r="8">
      <c r="A8" s="8" t="inlineStr">
        <is>
          <t>EQ-004</t>
        </is>
      </c>
      <c r="B8" s="9">
        <f>IF('Equipment List'!B8&lt;&gt;"", 'Equipment List'!B8, "")</f>
        <v/>
      </c>
      <c r="C8" s="21" t="n"/>
      <c r="D8" s="10" t="n"/>
      <c r="E8" s="10">
        <f>IF(AND(D8&lt;&gt;"",C8&lt;&gt;""), D8+C8, "")</f>
        <v/>
      </c>
      <c r="F8" s="21">
        <f>IF(E8&lt;&gt;"", E8-TODAY(), "")</f>
        <v/>
      </c>
      <c r="G8" s="9">
        <f>IF(F8="","",IF(F8&lt;0,"OVERDUE",IF(F8&lt;=7,"DUE SOON","OK")))</f>
        <v/>
      </c>
    </row>
    <row r="9">
      <c r="A9" s="4" t="inlineStr">
        <is>
          <t>EQ-005</t>
        </is>
      </c>
      <c r="B9" s="5">
        <f>IF('Equipment List'!B9&lt;&gt;"", 'Equipment List'!B9, "")</f>
        <v/>
      </c>
      <c r="C9" s="20" t="n"/>
      <c r="D9" s="6" t="n"/>
      <c r="E9" s="6">
        <f>IF(AND(D9&lt;&gt;"",C9&lt;&gt;""), D9+C9, "")</f>
        <v/>
      </c>
      <c r="F9" s="20">
        <f>IF(E9&lt;&gt;"", E9-TODAY(), "")</f>
        <v/>
      </c>
      <c r="G9" s="5">
        <f>IF(F9="","",IF(F9&lt;0,"OVERDUE",IF(F9&lt;=7,"DUE SOON","OK")))</f>
        <v/>
      </c>
    </row>
    <row r="10">
      <c r="A10" s="8" t="inlineStr">
        <is>
          <t>EQ-006</t>
        </is>
      </c>
      <c r="B10" s="9">
        <f>IF('Equipment List'!B10&lt;&gt;"", 'Equipment List'!B10, "")</f>
        <v/>
      </c>
      <c r="C10" s="21" t="n"/>
      <c r="D10" s="10" t="n"/>
      <c r="E10" s="10">
        <f>IF(AND(D10&lt;&gt;"",C10&lt;&gt;""), D10+C10, "")</f>
        <v/>
      </c>
      <c r="F10" s="21">
        <f>IF(E10&lt;&gt;"", E10-TODAY(), "")</f>
        <v/>
      </c>
      <c r="G10" s="9">
        <f>IF(F10="","",IF(F10&lt;0,"OVERDUE",IF(F10&lt;=7,"DUE SOON","OK")))</f>
        <v/>
      </c>
    </row>
    <row r="11">
      <c r="A11" s="4" t="inlineStr">
        <is>
          <t>EQ-007</t>
        </is>
      </c>
      <c r="B11" s="5">
        <f>IF('Equipment List'!B11&lt;&gt;"", 'Equipment List'!B11, "")</f>
        <v/>
      </c>
      <c r="C11" s="20" t="n"/>
      <c r="D11" s="6" t="n"/>
      <c r="E11" s="6">
        <f>IF(AND(D11&lt;&gt;"",C11&lt;&gt;""), D11+C11, "")</f>
        <v/>
      </c>
      <c r="F11" s="20">
        <f>IF(E11&lt;&gt;"", E11-TODAY(), "")</f>
        <v/>
      </c>
      <c r="G11" s="5">
        <f>IF(F11="","",IF(F11&lt;0,"OVERDUE",IF(F11&lt;=7,"DUE SOON","OK")))</f>
        <v/>
      </c>
    </row>
    <row r="12">
      <c r="A12" s="8" t="inlineStr">
        <is>
          <t>EQ-008</t>
        </is>
      </c>
      <c r="B12" s="9">
        <f>IF('Equipment List'!B12&lt;&gt;"", 'Equipment List'!B12, "")</f>
        <v/>
      </c>
      <c r="C12" s="21" t="n"/>
      <c r="D12" s="10" t="n"/>
      <c r="E12" s="10">
        <f>IF(AND(D12&lt;&gt;"",C12&lt;&gt;""), D12+C12, "")</f>
        <v/>
      </c>
      <c r="F12" s="21">
        <f>IF(E12&lt;&gt;"", E12-TODAY(), "")</f>
        <v/>
      </c>
      <c r="G12" s="9">
        <f>IF(F12="","",IF(F12&lt;0,"OVERDUE",IF(F12&lt;=7,"DUE SOON","OK")))</f>
        <v/>
      </c>
    </row>
    <row r="13">
      <c r="A13" s="4" t="inlineStr">
        <is>
          <t>EQ-009</t>
        </is>
      </c>
      <c r="B13" s="5">
        <f>IF('Equipment List'!B13&lt;&gt;"", 'Equipment List'!B13, "")</f>
        <v/>
      </c>
      <c r="C13" s="20" t="n"/>
      <c r="D13" s="6" t="n"/>
      <c r="E13" s="6">
        <f>IF(AND(D13&lt;&gt;"",C13&lt;&gt;""), D13+C13, "")</f>
        <v/>
      </c>
      <c r="F13" s="20">
        <f>IF(E13&lt;&gt;"", E13-TODAY(), "")</f>
        <v/>
      </c>
      <c r="G13" s="5">
        <f>IF(F13="","",IF(F13&lt;0,"OVERDUE",IF(F13&lt;=7,"DUE SOON","OK")))</f>
        <v/>
      </c>
    </row>
    <row r="14">
      <c r="A14" s="8" t="inlineStr">
        <is>
          <t>EQ-010</t>
        </is>
      </c>
      <c r="B14" s="9">
        <f>IF('Equipment List'!B14&lt;&gt;"", 'Equipment List'!B14, "")</f>
        <v/>
      </c>
      <c r="C14" s="21" t="n"/>
      <c r="D14" s="10" t="n"/>
      <c r="E14" s="10">
        <f>IF(AND(D14&lt;&gt;"",C14&lt;&gt;""), D14+C14, "")</f>
        <v/>
      </c>
      <c r="F14" s="21">
        <f>IF(E14&lt;&gt;"", E14-TODAY(), "")</f>
        <v/>
      </c>
      <c r="G14" s="9">
        <f>IF(F14="","",IF(F14&lt;0,"OVERDUE",IF(F14&lt;=7,"DUE SOON","OK")))</f>
        <v/>
      </c>
    </row>
    <row r="15">
      <c r="A15" s="4" t="inlineStr">
        <is>
          <t>EQ-011</t>
        </is>
      </c>
      <c r="B15" s="5">
        <f>IF('Equipment List'!B15&lt;&gt;"", 'Equipment List'!B15, "")</f>
        <v/>
      </c>
      <c r="C15" s="20" t="n"/>
      <c r="D15" s="6" t="n"/>
      <c r="E15" s="6">
        <f>IF(AND(D15&lt;&gt;"",C15&lt;&gt;""), D15+C15, "")</f>
        <v/>
      </c>
      <c r="F15" s="20">
        <f>IF(E15&lt;&gt;"", E15-TODAY(), "")</f>
        <v/>
      </c>
      <c r="G15" s="5">
        <f>IF(F15="","",IF(F15&lt;0,"OVERDUE",IF(F15&lt;=7,"DUE SOON","OK")))</f>
        <v/>
      </c>
    </row>
    <row r="16">
      <c r="A16" s="8" t="inlineStr">
        <is>
          <t>EQ-012</t>
        </is>
      </c>
      <c r="B16" s="9">
        <f>IF('Equipment List'!B16&lt;&gt;"", 'Equipment List'!B16, "")</f>
        <v/>
      </c>
      <c r="C16" s="21" t="n"/>
      <c r="D16" s="10" t="n"/>
      <c r="E16" s="10">
        <f>IF(AND(D16&lt;&gt;"",C16&lt;&gt;""), D16+C16, "")</f>
        <v/>
      </c>
      <c r="F16" s="21">
        <f>IF(E16&lt;&gt;"", E16-TODAY(), "")</f>
        <v/>
      </c>
      <c r="G16" s="9">
        <f>IF(F16="","",IF(F16&lt;0,"OVERDUE",IF(F16&lt;=7,"DUE SOON","OK")))</f>
        <v/>
      </c>
    </row>
    <row r="17">
      <c r="A17" s="4" t="inlineStr">
        <is>
          <t>EQ-013</t>
        </is>
      </c>
      <c r="B17" s="5">
        <f>IF('Equipment List'!B17&lt;&gt;"", 'Equipment List'!B17, "")</f>
        <v/>
      </c>
      <c r="C17" s="20" t="n"/>
      <c r="D17" s="6" t="n"/>
      <c r="E17" s="6">
        <f>IF(AND(D17&lt;&gt;"",C17&lt;&gt;""), D17+C17, "")</f>
        <v/>
      </c>
      <c r="F17" s="20">
        <f>IF(E17&lt;&gt;"", E17-TODAY(), "")</f>
        <v/>
      </c>
      <c r="G17" s="5">
        <f>IF(F17="","",IF(F17&lt;0,"OVERDUE",IF(F17&lt;=7,"DUE SOON","OK")))</f>
        <v/>
      </c>
    </row>
    <row r="18">
      <c r="A18" s="8" t="inlineStr">
        <is>
          <t>EQ-014</t>
        </is>
      </c>
      <c r="B18" s="9">
        <f>IF('Equipment List'!B18&lt;&gt;"", 'Equipment List'!B18, "")</f>
        <v/>
      </c>
      <c r="C18" s="21" t="n"/>
      <c r="D18" s="10" t="n"/>
      <c r="E18" s="10">
        <f>IF(AND(D18&lt;&gt;"",C18&lt;&gt;""), D18+C18, "")</f>
        <v/>
      </c>
      <c r="F18" s="21">
        <f>IF(E18&lt;&gt;"", E18-TODAY(), "")</f>
        <v/>
      </c>
      <c r="G18" s="9">
        <f>IF(F18="","",IF(F18&lt;0,"OVERDUE",IF(F18&lt;=7,"DUE SOON","OK")))</f>
        <v/>
      </c>
    </row>
    <row r="19">
      <c r="A19" s="4" t="inlineStr">
        <is>
          <t>EQ-015</t>
        </is>
      </c>
      <c r="B19" s="5">
        <f>IF('Equipment List'!B19&lt;&gt;"", 'Equipment List'!B19, "")</f>
        <v/>
      </c>
      <c r="C19" s="20" t="n"/>
      <c r="D19" s="6" t="n"/>
      <c r="E19" s="6">
        <f>IF(AND(D19&lt;&gt;"",C19&lt;&gt;""), D19+C19, "")</f>
        <v/>
      </c>
      <c r="F19" s="20">
        <f>IF(E19&lt;&gt;"", E19-TODAY(), "")</f>
        <v/>
      </c>
      <c r="G19" s="5">
        <f>IF(F19="","",IF(F19&lt;0,"OVERDUE",IF(F19&lt;=7,"DUE SOON","OK")))</f>
        <v/>
      </c>
    </row>
    <row r="20">
      <c r="A20" s="8" t="inlineStr">
        <is>
          <t>EQ-016</t>
        </is>
      </c>
      <c r="B20" s="9">
        <f>IF('Equipment List'!B20&lt;&gt;"", 'Equipment List'!B20, "")</f>
        <v/>
      </c>
      <c r="C20" s="21" t="n"/>
      <c r="D20" s="10" t="n"/>
      <c r="E20" s="10">
        <f>IF(AND(D20&lt;&gt;"",C20&lt;&gt;""), D20+C20, "")</f>
        <v/>
      </c>
      <c r="F20" s="21">
        <f>IF(E20&lt;&gt;"", E20-TODAY(), "")</f>
        <v/>
      </c>
      <c r="G20" s="9">
        <f>IF(F20="","",IF(F20&lt;0,"OVERDUE",IF(F20&lt;=7,"DUE SOON","OK")))</f>
        <v/>
      </c>
    </row>
    <row r="21">
      <c r="A21" s="4" t="inlineStr">
        <is>
          <t>EQ-017</t>
        </is>
      </c>
      <c r="B21" s="5">
        <f>IF('Equipment List'!B21&lt;&gt;"", 'Equipment List'!B21, "")</f>
        <v/>
      </c>
      <c r="C21" s="20" t="n"/>
      <c r="D21" s="6" t="n"/>
      <c r="E21" s="6">
        <f>IF(AND(D21&lt;&gt;"",C21&lt;&gt;""), D21+C21, "")</f>
        <v/>
      </c>
      <c r="F21" s="20">
        <f>IF(E21&lt;&gt;"", E21-TODAY(), "")</f>
        <v/>
      </c>
      <c r="G21" s="5">
        <f>IF(F21="","",IF(F21&lt;0,"OVERDUE",IF(F21&lt;=7,"DUE SOON","OK")))</f>
        <v/>
      </c>
    </row>
    <row r="22">
      <c r="A22" s="8" t="inlineStr">
        <is>
          <t>EQ-018</t>
        </is>
      </c>
      <c r="B22" s="9">
        <f>IF('Equipment List'!B22&lt;&gt;"", 'Equipment List'!B22, "")</f>
        <v/>
      </c>
      <c r="C22" s="21" t="n"/>
      <c r="D22" s="10" t="n"/>
      <c r="E22" s="10">
        <f>IF(AND(D22&lt;&gt;"",C22&lt;&gt;""), D22+C22, "")</f>
        <v/>
      </c>
      <c r="F22" s="21">
        <f>IF(E22&lt;&gt;"", E22-TODAY(), "")</f>
        <v/>
      </c>
      <c r="G22" s="9">
        <f>IF(F22="","",IF(F22&lt;0,"OVERDUE",IF(F22&lt;=7,"DUE SOON","OK")))</f>
        <v/>
      </c>
    </row>
    <row r="23">
      <c r="A23" s="4" t="inlineStr">
        <is>
          <t>EQ-019</t>
        </is>
      </c>
      <c r="B23" s="5">
        <f>IF('Equipment List'!B23&lt;&gt;"", 'Equipment List'!B23, "")</f>
        <v/>
      </c>
      <c r="C23" s="20" t="n"/>
      <c r="D23" s="6" t="n"/>
      <c r="E23" s="6">
        <f>IF(AND(D23&lt;&gt;"",C23&lt;&gt;""), D23+C23, "")</f>
        <v/>
      </c>
      <c r="F23" s="20">
        <f>IF(E23&lt;&gt;"", E23-TODAY(), "")</f>
        <v/>
      </c>
      <c r="G23" s="5">
        <f>IF(F23="","",IF(F23&lt;0,"OVERDUE",IF(F23&lt;=7,"DUE SOON","OK")))</f>
        <v/>
      </c>
    </row>
    <row r="24">
      <c r="A24" s="8" t="inlineStr">
        <is>
          <t>EQ-020</t>
        </is>
      </c>
      <c r="B24" s="9">
        <f>IF('Equipment List'!B24&lt;&gt;"", 'Equipment List'!B24, "")</f>
        <v/>
      </c>
      <c r="C24" s="21" t="n"/>
      <c r="D24" s="10" t="n"/>
      <c r="E24" s="10">
        <f>IF(AND(D24&lt;&gt;"",C24&lt;&gt;""), D24+C24, "")</f>
        <v/>
      </c>
      <c r="F24" s="21">
        <f>IF(E24&lt;&gt;"", E24-TODAY(), "")</f>
        <v/>
      </c>
      <c r="G24" s="9">
        <f>IF(F24="","",IF(F24&lt;0,"OVERDUE",IF(F24&lt;=7,"DUE SOON","OK")))</f>
        <v/>
      </c>
    </row>
    <row r="25">
      <c r="A25" s="4" t="inlineStr">
        <is>
          <t>EQ-021</t>
        </is>
      </c>
      <c r="B25" s="5">
        <f>IF('Equipment List'!B25&lt;&gt;"", 'Equipment List'!B25, "")</f>
        <v/>
      </c>
      <c r="C25" s="20" t="n"/>
      <c r="D25" s="6" t="n"/>
      <c r="E25" s="6">
        <f>IF(AND(D25&lt;&gt;"",C25&lt;&gt;""), D25+C25, "")</f>
        <v/>
      </c>
      <c r="F25" s="20">
        <f>IF(E25&lt;&gt;"", E25-TODAY(), "")</f>
        <v/>
      </c>
      <c r="G25" s="5">
        <f>IF(F25="","",IF(F25&lt;0,"OVERDUE",IF(F25&lt;=7,"DUE SOON","OK")))</f>
        <v/>
      </c>
    </row>
    <row r="26">
      <c r="A26" s="8" t="inlineStr">
        <is>
          <t>EQ-022</t>
        </is>
      </c>
      <c r="B26" s="9">
        <f>IF('Equipment List'!B26&lt;&gt;"", 'Equipment List'!B26, "")</f>
        <v/>
      </c>
      <c r="C26" s="21" t="n"/>
      <c r="D26" s="10" t="n"/>
      <c r="E26" s="10">
        <f>IF(AND(D26&lt;&gt;"",C26&lt;&gt;""), D26+C26, "")</f>
        <v/>
      </c>
      <c r="F26" s="21">
        <f>IF(E26&lt;&gt;"", E26-TODAY(), "")</f>
        <v/>
      </c>
      <c r="G26" s="9">
        <f>IF(F26="","",IF(F26&lt;0,"OVERDUE",IF(F26&lt;=7,"DUE SOON","OK")))</f>
        <v/>
      </c>
    </row>
    <row r="27">
      <c r="A27" s="4" t="inlineStr">
        <is>
          <t>EQ-023</t>
        </is>
      </c>
      <c r="B27" s="5">
        <f>IF('Equipment List'!B27&lt;&gt;"", 'Equipment List'!B27, "")</f>
        <v/>
      </c>
      <c r="C27" s="20" t="n"/>
      <c r="D27" s="6" t="n"/>
      <c r="E27" s="6">
        <f>IF(AND(D27&lt;&gt;"",C27&lt;&gt;""), D27+C27, "")</f>
        <v/>
      </c>
      <c r="F27" s="20">
        <f>IF(E27&lt;&gt;"", E27-TODAY(), "")</f>
        <v/>
      </c>
      <c r="G27" s="5">
        <f>IF(F27="","",IF(F27&lt;0,"OVERDUE",IF(F27&lt;=7,"DUE SOON","OK")))</f>
        <v/>
      </c>
    </row>
    <row r="28">
      <c r="A28" s="8" t="inlineStr">
        <is>
          <t>EQ-024</t>
        </is>
      </c>
      <c r="B28" s="9">
        <f>IF('Equipment List'!B28&lt;&gt;"", 'Equipment List'!B28, "")</f>
        <v/>
      </c>
      <c r="C28" s="21" t="n"/>
      <c r="D28" s="10" t="n"/>
      <c r="E28" s="10">
        <f>IF(AND(D28&lt;&gt;"",C28&lt;&gt;""), D28+C28, "")</f>
        <v/>
      </c>
      <c r="F28" s="21">
        <f>IF(E28&lt;&gt;"", E28-TODAY(), "")</f>
        <v/>
      </c>
      <c r="G28" s="9">
        <f>IF(F28="","",IF(F28&lt;0,"OVERDUE",IF(F28&lt;=7,"DUE SOON","OK")))</f>
        <v/>
      </c>
    </row>
    <row r="29">
      <c r="A29" s="4" t="inlineStr">
        <is>
          <t>EQ-025</t>
        </is>
      </c>
      <c r="B29" s="5">
        <f>IF('Equipment List'!B29&lt;&gt;"", 'Equipment List'!B29, "")</f>
        <v/>
      </c>
      <c r="C29" s="20" t="n"/>
      <c r="D29" s="6" t="n"/>
      <c r="E29" s="6">
        <f>IF(AND(D29&lt;&gt;"",C29&lt;&gt;""), D29+C29, "")</f>
        <v/>
      </c>
      <c r="F29" s="20">
        <f>IF(E29&lt;&gt;"", E29-TODAY(), "")</f>
        <v/>
      </c>
      <c r="G29" s="5">
        <f>IF(F29="","",IF(F29&lt;0,"OVERDUE",IF(F29&lt;=7,"DUE SOON","OK")))</f>
        <v/>
      </c>
    </row>
    <row r="30">
      <c r="A30" s="8" t="inlineStr">
        <is>
          <t>EQ-026</t>
        </is>
      </c>
      <c r="B30" s="9">
        <f>IF('Equipment List'!B30&lt;&gt;"", 'Equipment List'!B30, "")</f>
        <v/>
      </c>
      <c r="C30" s="21" t="n"/>
      <c r="D30" s="10" t="n"/>
      <c r="E30" s="10">
        <f>IF(AND(D30&lt;&gt;"",C30&lt;&gt;""), D30+C30, "")</f>
        <v/>
      </c>
      <c r="F30" s="21">
        <f>IF(E30&lt;&gt;"", E30-TODAY(), "")</f>
        <v/>
      </c>
      <c r="G30" s="9">
        <f>IF(F30="","",IF(F30&lt;0,"OVERDUE",IF(F30&lt;=7,"DUE SOON","OK")))</f>
        <v/>
      </c>
    </row>
    <row r="31">
      <c r="A31" s="4" t="inlineStr">
        <is>
          <t>EQ-027</t>
        </is>
      </c>
      <c r="B31" s="5">
        <f>IF('Equipment List'!B31&lt;&gt;"", 'Equipment List'!B31, "")</f>
        <v/>
      </c>
      <c r="C31" s="20" t="n"/>
      <c r="D31" s="6" t="n"/>
      <c r="E31" s="6">
        <f>IF(AND(D31&lt;&gt;"",C31&lt;&gt;""), D31+C31, "")</f>
        <v/>
      </c>
      <c r="F31" s="20">
        <f>IF(E31&lt;&gt;"", E31-TODAY(), "")</f>
        <v/>
      </c>
      <c r="G31" s="5">
        <f>IF(F31="","",IF(F31&lt;0,"OVERDUE",IF(F31&lt;=7,"DUE SOON","OK")))</f>
        <v/>
      </c>
    </row>
    <row r="32">
      <c r="A32" s="8" t="inlineStr">
        <is>
          <t>EQ-028</t>
        </is>
      </c>
      <c r="B32" s="9">
        <f>IF('Equipment List'!B32&lt;&gt;"", 'Equipment List'!B32, "")</f>
        <v/>
      </c>
      <c r="C32" s="21" t="n"/>
      <c r="D32" s="10" t="n"/>
      <c r="E32" s="10">
        <f>IF(AND(D32&lt;&gt;"",C32&lt;&gt;""), D32+C32, "")</f>
        <v/>
      </c>
      <c r="F32" s="21">
        <f>IF(E32&lt;&gt;"", E32-TODAY(), "")</f>
        <v/>
      </c>
      <c r="G32" s="9">
        <f>IF(F32="","",IF(F32&lt;0,"OVERDUE",IF(F32&lt;=7,"DUE SOON","OK")))</f>
        <v/>
      </c>
    </row>
    <row r="33">
      <c r="A33" s="4" t="inlineStr">
        <is>
          <t>EQ-029</t>
        </is>
      </c>
      <c r="B33" s="5">
        <f>IF('Equipment List'!B33&lt;&gt;"", 'Equipment List'!B33, "")</f>
        <v/>
      </c>
      <c r="C33" s="20" t="n"/>
      <c r="D33" s="6" t="n"/>
      <c r="E33" s="6">
        <f>IF(AND(D33&lt;&gt;"",C33&lt;&gt;""), D33+C33, "")</f>
        <v/>
      </c>
      <c r="F33" s="20">
        <f>IF(E33&lt;&gt;"", E33-TODAY(), "")</f>
        <v/>
      </c>
      <c r="G33" s="5">
        <f>IF(F33="","",IF(F33&lt;0,"OVERDUE",IF(F33&lt;=7,"DUE SOON","OK")))</f>
        <v/>
      </c>
    </row>
    <row r="34">
      <c r="A34" s="8" t="inlineStr">
        <is>
          <t>EQ-030</t>
        </is>
      </c>
      <c r="B34" s="9">
        <f>IF('Equipment List'!B34&lt;&gt;"", 'Equipment List'!B34, "")</f>
        <v/>
      </c>
      <c r="C34" s="21" t="n"/>
      <c r="D34" s="10" t="n"/>
      <c r="E34" s="10">
        <f>IF(AND(D34&lt;&gt;"",C34&lt;&gt;""), D34+C34, "")</f>
        <v/>
      </c>
      <c r="F34" s="21">
        <f>IF(E34&lt;&gt;"", E34-TODAY(), "")</f>
        <v/>
      </c>
      <c r="G34" s="9">
        <f>IF(F34="","",IF(F34&lt;0,"OVERDUE",IF(F34&lt;=7,"DUE SOON","OK")))</f>
        <v/>
      </c>
    </row>
  </sheetData>
  <mergeCells count="2">
    <mergeCell ref="A2:G2"/>
    <mergeCell ref="A1:G1"/>
  </mergeCells>
  <conditionalFormatting sqref="G5:G34">
    <cfRule type="cellIs" priority="1" operator="equal" dxfId="0">
      <formula>"OVERDUE"</formula>
    </cfRule>
    <cfRule type="cellIs" priority="2" operator="equal" dxfId="1">
      <formula>"DUE SOON"</formula>
    </cfRule>
    <cfRule type="cellIs" priority="3" operator="equal" dxfId="2">
      <formula>"OK"</formula>
    </cfRule>
  </conditionalFormatting>
  <conditionalFormatting sqref="F5:F34">
    <cfRule type="cellIs" priority="4" operator="lessThan" dxfId="0">
      <formula>0</formula>
    </cfRule>
    <cfRule type="expression" priority="5" dxfId="1">
      <formula>AND(F5&gt;=0, F5&lt;=7)</formula>
    </cfRule>
    <cfRule type="cellIs" priority="6" operator="greaterThan" dxfId="2">
      <formula>7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E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8" customWidth="1" min="4" max="4"/>
    <col width="22" customWidth="1" min="5" max="5"/>
  </cols>
  <sheetData>
    <row r="1" ht="30" customHeight="1">
      <c r="A1" s="1" t="inlineStr">
        <is>
          <t>💰 Cost Summary</t>
        </is>
      </c>
    </row>
    <row r="2" ht="18" customHeight="1">
      <c r="A2" s="2" t="inlineStr">
        <is>
          <t>Auto-calculated from Maintenance Log — no manual entry needed</t>
        </is>
      </c>
    </row>
    <row r="4" ht="28" customHeight="1">
      <c r="A4" s="3" t="inlineStr">
        <is>
          <t>Equipment ID</t>
        </is>
      </c>
      <c r="B4" s="3" t="inlineStr">
        <is>
          <t>Description</t>
        </is>
      </c>
      <c r="C4" s="3" t="inlineStr">
        <is>
          <t>Total Maintenance Cost</t>
        </is>
      </c>
      <c r="D4" s="3" t="inlineStr">
        <is>
          <t>Number of Services</t>
        </is>
      </c>
      <c r="E4" s="3" t="inlineStr">
        <is>
          <t>Avg Cost per Service</t>
        </is>
      </c>
    </row>
    <row r="5">
      <c r="A5" s="4" t="inlineStr">
        <is>
          <t>EQ-001</t>
        </is>
      </c>
      <c r="B5" s="5">
        <f>IF('Equipment List'!B5&lt;&gt;"", 'Equipment List'!B5, "")</f>
        <v/>
      </c>
      <c r="C5" s="7">
        <f>SUMIF('Maintenance Log'!$B$5:$B$54, A5, 'Maintenance Log'!$G$5:$G$54)</f>
        <v/>
      </c>
      <c r="D5" s="20">
        <f>COUNTIF('Maintenance Log'!$B$5:$B$54, A5)</f>
        <v/>
      </c>
      <c r="E5" s="7">
        <f>IF(D5&gt;0, C5/D5, 0)</f>
        <v/>
      </c>
    </row>
    <row r="6">
      <c r="A6" s="8" t="inlineStr">
        <is>
          <t>EQ-002</t>
        </is>
      </c>
      <c r="B6" s="9">
        <f>IF('Equipment List'!B6&lt;&gt;"", 'Equipment List'!B6, "")</f>
        <v/>
      </c>
      <c r="C6" s="11">
        <f>SUMIF('Maintenance Log'!$B$5:$B$54, A6, 'Maintenance Log'!$G$5:$G$54)</f>
        <v/>
      </c>
      <c r="D6" s="21">
        <f>COUNTIF('Maintenance Log'!$B$5:$B$54, A6)</f>
        <v/>
      </c>
      <c r="E6" s="11">
        <f>IF(D6&gt;0, C6/D6, 0)</f>
        <v/>
      </c>
    </row>
    <row r="7">
      <c r="A7" s="4" t="inlineStr">
        <is>
          <t>EQ-003</t>
        </is>
      </c>
      <c r="B7" s="5">
        <f>IF('Equipment List'!B7&lt;&gt;"", 'Equipment List'!B7, "")</f>
        <v/>
      </c>
      <c r="C7" s="7">
        <f>SUMIF('Maintenance Log'!$B$5:$B$54, A7, 'Maintenance Log'!$G$5:$G$54)</f>
        <v/>
      </c>
      <c r="D7" s="20">
        <f>COUNTIF('Maintenance Log'!$B$5:$B$54, A7)</f>
        <v/>
      </c>
      <c r="E7" s="7">
        <f>IF(D7&gt;0, C7/D7, 0)</f>
        <v/>
      </c>
    </row>
    <row r="8">
      <c r="A8" s="8" t="inlineStr">
        <is>
          <t>EQ-004</t>
        </is>
      </c>
      <c r="B8" s="9">
        <f>IF('Equipment List'!B8&lt;&gt;"", 'Equipment List'!B8, "")</f>
        <v/>
      </c>
      <c r="C8" s="11">
        <f>SUMIF('Maintenance Log'!$B$5:$B$54, A8, 'Maintenance Log'!$G$5:$G$54)</f>
        <v/>
      </c>
      <c r="D8" s="21">
        <f>COUNTIF('Maintenance Log'!$B$5:$B$54, A8)</f>
        <v/>
      </c>
      <c r="E8" s="11">
        <f>IF(D8&gt;0, C8/D8, 0)</f>
        <v/>
      </c>
    </row>
    <row r="9">
      <c r="A9" s="4" t="inlineStr">
        <is>
          <t>EQ-005</t>
        </is>
      </c>
      <c r="B9" s="5">
        <f>IF('Equipment List'!B9&lt;&gt;"", 'Equipment List'!B9, "")</f>
        <v/>
      </c>
      <c r="C9" s="7">
        <f>SUMIF('Maintenance Log'!$B$5:$B$54, A9, 'Maintenance Log'!$G$5:$G$54)</f>
        <v/>
      </c>
      <c r="D9" s="20">
        <f>COUNTIF('Maintenance Log'!$B$5:$B$54, A9)</f>
        <v/>
      </c>
      <c r="E9" s="7">
        <f>IF(D9&gt;0, C9/D9, 0)</f>
        <v/>
      </c>
    </row>
    <row r="10">
      <c r="A10" s="8" t="inlineStr">
        <is>
          <t>EQ-006</t>
        </is>
      </c>
      <c r="B10" s="9">
        <f>IF('Equipment List'!B10&lt;&gt;"", 'Equipment List'!B10, "")</f>
        <v/>
      </c>
      <c r="C10" s="11">
        <f>SUMIF('Maintenance Log'!$B$5:$B$54, A10, 'Maintenance Log'!$G$5:$G$54)</f>
        <v/>
      </c>
      <c r="D10" s="21">
        <f>COUNTIF('Maintenance Log'!$B$5:$B$54, A10)</f>
        <v/>
      </c>
      <c r="E10" s="11">
        <f>IF(D10&gt;0, C10/D10, 0)</f>
        <v/>
      </c>
    </row>
    <row r="11">
      <c r="A11" s="4" t="inlineStr">
        <is>
          <t>EQ-007</t>
        </is>
      </c>
      <c r="B11" s="5">
        <f>IF('Equipment List'!B11&lt;&gt;"", 'Equipment List'!B11, "")</f>
        <v/>
      </c>
      <c r="C11" s="7">
        <f>SUMIF('Maintenance Log'!$B$5:$B$54, A11, 'Maintenance Log'!$G$5:$G$54)</f>
        <v/>
      </c>
      <c r="D11" s="20">
        <f>COUNTIF('Maintenance Log'!$B$5:$B$54, A11)</f>
        <v/>
      </c>
      <c r="E11" s="7">
        <f>IF(D11&gt;0, C11/D11, 0)</f>
        <v/>
      </c>
    </row>
    <row r="12">
      <c r="A12" s="8" t="inlineStr">
        <is>
          <t>EQ-008</t>
        </is>
      </c>
      <c r="B12" s="9">
        <f>IF('Equipment List'!B12&lt;&gt;"", 'Equipment List'!B12, "")</f>
        <v/>
      </c>
      <c r="C12" s="11">
        <f>SUMIF('Maintenance Log'!$B$5:$B$54, A12, 'Maintenance Log'!$G$5:$G$54)</f>
        <v/>
      </c>
      <c r="D12" s="21">
        <f>COUNTIF('Maintenance Log'!$B$5:$B$54, A12)</f>
        <v/>
      </c>
      <c r="E12" s="11">
        <f>IF(D12&gt;0, C12/D12, 0)</f>
        <v/>
      </c>
    </row>
    <row r="13">
      <c r="A13" s="4" t="inlineStr">
        <is>
          <t>EQ-009</t>
        </is>
      </c>
      <c r="B13" s="5">
        <f>IF('Equipment List'!B13&lt;&gt;"", 'Equipment List'!B13, "")</f>
        <v/>
      </c>
      <c r="C13" s="7">
        <f>SUMIF('Maintenance Log'!$B$5:$B$54, A13, 'Maintenance Log'!$G$5:$G$54)</f>
        <v/>
      </c>
      <c r="D13" s="20">
        <f>COUNTIF('Maintenance Log'!$B$5:$B$54, A13)</f>
        <v/>
      </c>
      <c r="E13" s="7">
        <f>IF(D13&gt;0, C13/D13, 0)</f>
        <v/>
      </c>
    </row>
    <row r="14">
      <c r="A14" s="8" t="inlineStr">
        <is>
          <t>EQ-010</t>
        </is>
      </c>
      <c r="B14" s="9">
        <f>IF('Equipment List'!B14&lt;&gt;"", 'Equipment List'!B14, "")</f>
        <v/>
      </c>
      <c r="C14" s="11">
        <f>SUMIF('Maintenance Log'!$B$5:$B$54, A14, 'Maintenance Log'!$G$5:$G$54)</f>
        <v/>
      </c>
      <c r="D14" s="21">
        <f>COUNTIF('Maintenance Log'!$B$5:$B$54, A14)</f>
        <v/>
      </c>
      <c r="E14" s="11">
        <f>IF(D14&gt;0, C14/D14, 0)</f>
        <v/>
      </c>
    </row>
    <row r="15">
      <c r="A15" s="4" t="inlineStr">
        <is>
          <t>EQ-011</t>
        </is>
      </c>
      <c r="B15" s="5">
        <f>IF('Equipment List'!B15&lt;&gt;"", 'Equipment List'!B15, "")</f>
        <v/>
      </c>
      <c r="C15" s="7">
        <f>SUMIF('Maintenance Log'!$B$5:$B$54, A15, 'Maintenance Log'!$G$5:$G$54)</f>
        <v/>
      </c>
      <c r="D15" s="20">
        <f>COUNTIF('Maintenance Log'!$B$5:$B$54, A15)</f>
        <v/>
      </c>
      <c r="E15" s="7">
        <f>IF(D15&gt;0, C15/D15, 0)</f>
        <v/>
      </c>
    </row>
    <row r="16">
      <c r="A16" s="8" t="inlineStr">
        <is>
          <t>EQ-012</t>
        </is>
      </c>
      <c r="B16" s="9">
        <f>IF('Equipment List'!B16&lt;&gt;"", 'Equipment List'!B16, "")</f>
        <v/>
      </c>
      <c r="C16" s="11">
        <f>SUMIF('Maintenance Log'!$B$5:$B$54, A16, 'Maintenance Log'!$G$5:$G$54)</f>
        <v/>
      </c>
      <c r="D16" s="21">
        <f>COUNTIF('Maintenance Log'!$B$5:$B$54, A16)</f>
        <v/>
      </c>
      <c r="E16" s="11">
        <f>IF(D16&gt;0, C16/D16, 0)</f>
        <v/>
      </c>
    </row>
    <row r="17">
      <c r="A17" s="4" t="inlineStr">
        <is>
          <t>EQ-013</t>
        </is>
      </c>
      <c r="B17" s="5">
        <f>IF('Equipment List'!B17&lt;&gt;"", 'Equipment List'!B17, "")</f>
        <v/>
      </c>
      <c r="C17" s="7">
        <f>SUMIF('Maintenance Log'!$B$5:$B$54, A17, 'Maintenance Log'!$G$5:$G$54)</f>
        <v/>
      </c>
      <c r="D17" s="20">
        <f>COUNTIF('Maintenance Log'!$B$5:$B$54, A17)</f>
        <v/>
      </c>
      <c r="E17" s="7">
        <f>IF(D17&gt;0, C17/D17, 0)</f>
        <v/>
      </c>
    </row>
    <row r="18">
      <c r="A18" s="8" t="inlineStr">
        <is>
          <t>EQ-014</t>
        </is>
      </c>
      <c r="B18" s="9">
        <f>IF('Equipment List'!B18&lt;&gt;"", 'Equipment List'!B18, "")</f>
        <v/>
      </c>
      <c r="C18" s="11">
        <f>SUMIF('Maintenance Log'!$B$5:$B$54, A18, 'Maintenance Log'!$G$5:$G$54)</f>
        <v/>
      </c>
      <c r="D18" s="21">
        <f>COUNTIF('Maintenance Log'!$B$5:$B$54, A18)</f>
        <v/>
      </c>
      <c r="E18" s="11">
        <f>IF(D18&gt;0, C18/D18, 0)</f>
        <v/>
      </c>
    </row>
    <row r="19">
      <c r="A19" s="4" t="inlineStr">
        <is>
          <t>EQ-015</t>
        </is>
      </c>
      <c r="B19" s="5">
        <f>IF('Equipment List'!B19&lt;&gt;"", 'Equipment List'!B19, "")</f>
        <v/>
      </c>
      <c r="C19" s="7">
        <f>SUMIF('Maintenance Log'!$B$5:$B$54, A19, 'Maintenance Log'!$G$5:$G$54)</f>
        <v/>
      </c>
      <c r="D19" s="20">
        <f>COUNTIF('Maintenance Log'!$B$5:$B$54, A19)</f>
        <v/>
      </c>
      <c r="E19" s="7">
        <f>IF(D19&gt;0, C19/D19, 0)</f>
        <v/>
      </c>
    </row>
    <row r="20">
      <c r="A20" s="8" t="inlineStr">
        <is>
          <t>EQ-016</t>
        </is>
      </c>
      <c r="B20" s="9">
        <f>IF('Equipment List'!B20&lt;&gt;"", 'Equipment List'!B20, "")</f>
        <v/>
      </c>
      <c r="C20" s="11">
        <f>SUMIF('Maintenance Log'!$B$5:$B$54, A20, 'Maintenance Log'!$G$5:$G$54)</f>
        <v/>
      </c>
      <c r="D20" s="21">
        <f>COUNTIF('Maintenance Log'!$B$5:$B$54, A20)</f>
        <v/>
      </c>
      <c r="E20" s="11">
        <f>IF(D20&gt;0, C20/D20, 0)</f>
        <v/>
      </c>
    </row>
    <row r="21">
      <c r="A21" s="4" t="inlineStr">
        <is>
          <t>EQ-017</t>
        </is>
      </c>
      <c r="B21" s="5">
        <f>IF('Equipment List'!B21&lt;&gt;"", 'Equipment List'!B21, "")</f>
        <v/>
      </c>
      <c r="C21" s="7">
        <f>SUMIF('Maintenance Log'!$B$5:$B$54, A21, 'Maintenance Log'!$G$5:$G$54)</f>
        <v/>
      </c>
      <c r="D21" s="20">
        <f>COUNTIF('Maintenance Log'!$B$5:$B$54, A21)</f>
        <v/>
      </c>
      <c r="E21" s="7">
        <f>IF(D21&gt;0, C21/D21, 0)</f>
        <v/>
      </c>
    </row>
    <row r="22">
      <c r="A22" s="8" t="inlineStr">
        <is>
          <t>EQ-018</t>
        </is>
      </c>
      <c r="B22" s="9">
        <f>IF('Equipment List'!B22&lt;&gt;"", 'Equipment List'!B22, "")</f>
        <v/>
      </c>
      <c r="C22" s="11">
        <f>SUMIF('Maintenance Log'!$B$5:$B$54, A22, 'Maintenance Log'!$G$5:$G$54)</f>
        <v/>
      </c>
      <c r="D22" s="21">
        <f>COUNTIF('Maintenance Log'!$B$5:$B$54, A22)</f>
        <v/>
      </c>
      <c r="E22" s="11">
        <f>IF(D22&gt;0, C22/D22, 0)</f>
        <v/>
      </c>
    </row>
    <row r="23">
      <c r="A23" s="4" t="inlineStr">
        <is>
          <t>EQ-019</t>
        </is>
      </c>
      <c r="B23" s="5">
        <f>IF('Equipment List'!B23&lt;&gt;"", 'Equipment List'!B23, "")</f>
        <v/>
      </c>
      <c r="C23" s="7">
        <f>SUMIF('Maintenance Log'!$B$5:$B$54, A23, 'Maintenance Log'!$G$5:$G$54)</f>
        <v/>
      </c>
      <c r="D23" s="20">
        <f>COUNTIF('Maintenance Log'!$B$5:$B$54, A23)</f>
        <v/>
      </c>
      <c r="E23" s="7">
        <f>IF(D23&gt;0, C23/D23, 0)</f>
        <v/>
      </c>
    </row>
    <row r="24">
      <c r="A24" s="8" t="inlineStr">
        <is>
          <t>EQ-020</t>
        </is>
      </c>
      <c r="B24" s="9">
        <f>IF('Equipment List'!B24&lt;&gt;"", 'Equipment List'!B24, "")</f>
        <v/>
      </c>
      <c r="C24" s="11">
        <f>SUMIF('Maintenance Log'!$B$5:$B$54, A24, 'Maintenance Log'!$G$5:$G$54)</f>
        <v/>
      </c>
      <c r="D24" s="21">
        <f>COUNTIF('Maintenance Log'!$B$5:$B$54, A24)</f>
        <v/>
      </c>
      <c r="E24" s="11">
        <f>IF(D24&gt;0, C24/D24, 0)</f>
        <v/>
      </c>
    </row>
    <row r="25">
      <c r="A25" s="4" t="inlineStr">
        <is>
          <t>EQ-021</t>
        </is>
      </c>
      <c r="B25" s="5">
        <f>IF('Equipment List'!B25&lt;&gt;"", 'Equipment List'!B25, "")</f>
        <v/>
      </c>
      <c r="C25" s="7">
        <f>SUMIF('Maintenance Log'!$B$5:$B$54, A25, 'Maintenance Log'!$G$5:$G$54)</f>
        <v/>
      </c>
      <c r="D25" s="20">
        <f>COUNTIF('Maintenance Log'!$B$5:$B$54, A25)</f>
        <v/>
      </c>
      <c r="E25" s="7">
        <f>IF(D25&gt;0, C25/D25, 0)</f>
        <v/>
      </c>
    </row>
    <row r="26">
      <c r="A26" s="8" t="inlineStr">
        <is>
          <t>EQ-022</t>
        </is>
      </c>
      <c r="B26" s="9">
        <f>IF('Equipment List'!B26&lt;&gt;"", 'Equipment List'!B26, "")</f>
        <v/>
      </c>
      <c r="C26" s="11">
        <f>SUMIF('Maintenance Log'!$B$5:$B$54, A26, 'Maintenance Log'!$G$5:$G$54)</f>
        <v/>
      </c>
      <c r="D26" s="21">
        <f>COUNTIF('Maintenance Log'!$B$5:$B$54, A26)</f>
        <v/>
      </c>
      <c r="E26" s="11">
        <f>IF(D26&gt;0, C26/D26, 0)</f>
        <v/>
      </c>
    </row>
    <row r="27">
      <c r="A27" s="4" t="inlineStr">
        <is>
          <t>EQ-023</t>
        </is>
      </c>
      <c r="B27" s="5">
        <f>IF('Equipment List'!B27&lt;&gt;"", 'Equipment List'!B27, "")</f>
        <v/>
      </c>
      <c r="C27" s="7">
        <f>SUMIF('Maintenance Log'!$B$5:$B$54, A27, 'Maintenance Log'!$G$5:$G$54)</f>
        <v/>
      </c>
      <c r="D27" s="20">
        <f>COUNTIF('Maintenance Log'!$B$5:$B$54, A27)</f>
        <v/>
      </c>
      <c r="E27" s="7">
        <f>IF(D27&gt;0, C27/D27, 0)</f>
        <v/>
      </c>
    </row>
    <row r="28">
      <c r="A28" s="8" t="inlineStr">
        <is>
          <t>EQ-024</t>
        </is>
      </c>
      <c r="B28" s="9">
        <f>IF('Equipment List'!B28&lt;&gt;"", 'Equipment List'!B28, "")</f>
        <v/>
      </c>
      <c r="C28" s="11">
        <f>SUMIF('Maintenance Log'!$B$5:$B$54, A28, 'Maintenance Log'!$G$5:$G$54)</f>
        <v/>
      </c>
      <c r="D28" s="21">
        <f>COUNTIF('Maintenance Log'!$B$5:$B$54, A28)</f>
        <v/>
      </c>
      <c r="E28" s="11">
        <f>IF(D28&gt;0, C28/D28, 0)</f>
        <v/>
      </c>
    </row>
    <row r="29">
      <c r="A29" s="4" t="inlineStr">
        <is>
          <t>EQ-025</t>
        </is>
      </c>
      <c r="B29" s="5">
        <f>IF('Equipment List'!B29&lt;&gt;"", 'Equipment List'!B29, "")</f>
        <v/>
      </c>
      <c r="C29" s="7">
        <f>SUMIF('Maintenance Log'!$B$5:$B$54, A29, 'Maintenance Log'!$G$5:$G$54)</f>
        <v/>
      </c>
      <c r="D29" s="20">
        <f>COUNTIF('Maintenance Log'!$B$5:$B$54, A29)</f>
        <v/>
      </c>
      <c r="E29" s="7">
        <f>IF(D29&gt;0, C29/D29, 0)</f>
        <v/>
      </c>
    </row>
    <row r="30">
      <c r="A30" s="8" t="inlineStr">
        <is>
          <t>EQ-026</t>
        </is>
      </c>
      <c r="B30" s="9">
        <f>IF('Equipment List'!B30&lt;&gt;"", 'Equipment List'!B30, "")</f>
        <v/>
      </c>
      <c r="C30" s="11">
        <f>SUMIF('Maintenance Log'!$B$5:$B$54, A30, 'Maintenance Log'!$G$5:$G$54)</f>
        <v/>
      </c>
      <c r="D30" s="21">
        <f>COUNTIF('Maintenance Log'!$B$5:$B$54, A30)</f>
        <v/>
      </c>
      <c r="E30" s="11">
        <f>IF(D30&gt;0, C30/D30, 0)</f>
        <v/>
      </c>
    </row>
    <row r="31">
      <c r="A31" s="4" t="inlineStr">
        <is>
          <t>EQ-027</t>
        </is>
      </c>
      <c r="B31" s="5">
        <f>IF('Equipment List'!B31&lt;&gt;"", 'Equipment List'!B31, "")</f>
        <v/>
      </c>
      <c r="C31" s="7">
        <f>SUMIF('Maintenance Log'!$B$5:$B$54, A31, 'Maintenance Log'!$G$5:$G$54)</f>
        <v/>
      </c>
      <c r="D31" s="20">
        <f>COUNTIF('Maintenance Log'!$B$5:$B$54, A31)</f>
        <v/>
      </c>
      <c r="E31" s="7">
        <f>IF(D31&gt;0, C31/D31, 0)</f>
        <v/>
      </c>
    </row>
    <row r="32">
      <c r="A32" s="8" t="inlineStr">
        <is>
          <t>EQ-028</t>
        </is>
      </c>
      <c r="B32" s="9">
        <f>IF('Equipment List'!B32&lt;&gt;"", 'Equipment List'!B32, "")</f>
        <v/>
      </c>
      <c r="C32" s="11">
        <f>SUMIF('Maintenance Log'!$B$5:$B$54, A32, 'Maintenance Log'!$G$5:$G$54)</f>
        <v/>
      </c>
      <c r="D32" s="21">
        <f>COUNTIF('Maintenance Log'!$B$5:$B$54, A32)</f>
        <v/>
      </c>
      <c r="E32" s="11">
        <f>IF(D32&gt;0, C32/D32, 0)</f>
        <v/>
      </c>
    </row>
    <row r="33">
      <c r="A33" s="4" t="inlineStr">
        <is>
          <t>EQ-029</t>
        </is>
      </c>
      <c r="B33" s="5">
        <f>IF('Equipment List'!B33&lt;&gt;"", 'Equipment List'!B33, "")</f>
        <v/>
      </c>
      <c r="C33" s="7">
        <f>SUMIF('Maintenance Log'!$B$5:$B$54, A33, 'Maintenance Log'!$G$5:$G$54)</f>
        <v/>
      </c>
      <c r="D33" s="20">
        <f>COUNTIF('Maintenance Log'!$B$5:$B$54, A33)</f>
        <v/>
      </c>
      <c r="E33" s="7">
        <f>IF(D33&gt;0, C33/D33, 0)</f>
        <v/>
      </c>
    </row>
    <row r="34">
      <c r="A34" s="8" t="inlineStr">
        <is>
          <t>EQ-030</t>
        </is>
      </c>
      <c r="B34" s="9">
        <f>IF('Equipment List'!B34&lt;&gt;"", 'Equipment List'!B34, "")</f>
        <v/>
      </c>
      <c r="C34" s="11">
        <f>SUMIF('Maintenance Log'!$B$5:$B$54, A34, 'Maintenance Log'!$G$5:$G$54)</f>
        <v/>
      </c>
      <c r="D34" s="21">
        <f>COUNTIF('Maintenance Log'!$B$5:$B$54, A34)</f>
        <v/>
      </c>
      <c r="E34" s="11">
        <f>IF(D34&gt;0, C34/D34, 0)</f>
        <v/>
      </c>
    </row>
    <row r="35">
      <c r="A35" s="22" t="inlineStr">
        <is>
          <t>GRAND TOTAL</t>
        </is>
      </c>
      <c r="B35" s="23" t="n"/>
      <c r="C35" s="24">
        <f>SUM(C5:C34)</f>
        <v/>
      </c>
      <c r="D35" s="25">
        <f>SUM(D5:D34)</f>
        <v/>
      </c>
      <c r="E35" s="24">
        <f>IF(D35&gt;0, C35/D35, 0)</f>
        <v/>
      </c>
    </row>
  </sheetData>
  <mergeCells count="3">
    <mergeCell ref="A2:E2"/>
    <mergeCell ref="A1:E1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2026-03-08T09:01:29Z</dcterms:created>
  <dcterms:modified xmlns:dcterms="http://purl.org/dc/terms/" xmlns:xsi="http://www.w3.org/2001/XMLSchema-instance" xsi:type="dcterms:W3CDTF">2026-03-08T09:01:29Z</dcterms:modified>
</cp:coreProperties>
</file>