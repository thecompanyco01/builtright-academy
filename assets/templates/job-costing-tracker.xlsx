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abor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Subs &amp; Equipment" sheetId="4" state="visible" r:id="rId4"/>
    <sheet xmlns:r="http://schemas.openxmlformats.org/officeDocument/2006/relationships" name="Change 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&quot;$&quot;#,##0.00"/>
    <numFmt numFmtId="166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A1A2E"/>
      <sz val="20"/>
    </font>
    <font>
      <name val="Calibri"/>
      <color rgb="006B7280"/>
      <sz val="10"/>
    </font>
    <font>
      <name val="Calibri"/>
      <b val="1"/>
      <color rgb="001F2937"/>
      <sz val="11"/>
    </font>
    <font>
      <name val="Calibri"/>
      <b val="1"/>
      <color rgb="00F97316"/>
      <sz val="14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b val="1"/>
      <color rgb="00FFFFFF"/>
      <sz val="12"/>
    </font>
    <font>
      <name val="Calibri"/>
      <b val="1"/>
      <color rgb="001A1A2E"/>
      <sz val="14"/>
    </font>
    <font>
      <name val="Calibri"/>
      <b val="1"/>
      <color rgb="001A1A2E"/>
      <sz val="16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1A1A2E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thin">
        <color rgb="00E5E7EB"/>
      </bottom>
    </border>
    <border>
      <bottom style="medium">
        <color rgb="00F97316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0" fillId="0" borderId="2" pivotButton="0" quotePrefix="0" xfId="0"/>
    <xf numFmtId="0" fontId="4" fillId="0" borderId="0" pivotButton="0" quotePrefix="0" xfId="0"/>
    <xf numFmtId="0" fontId="5" fillId="3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  <xf numFmtId="165" fontId="6" fillId="4" borderId="3" applyAlignment="1" pivotButton="0" quotePrefix="0" xfId="0">
      <alignment horizontal="right" vertical="center"/>
    </xf>
    <xf numFmtId="166" fontId="6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165" fontId="6" fillId="5" borderId="3" applyAlignment="1" pivotButton="0" quotePrefix="0" xfId="0">
      <alignment horizontal="right" vertical="center"/>
    </xf>
    <xf numFmtId="166" fontId="6" fillId="5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165" fontId="5" fillId="3" borderId="3" pivotButton="0" quotePrefix="0" xfId="0"/>
    <xf numFmtId="166" fontId="5" fillId="3" borderId="3" pivotButton="0" quotePrefix="0" xfId="0"/>
    <xf numFmtId="0" fontId="5" fillId="3" borderId="3" pivotButton="0" quotePrefix="0" xfId="0"/>
    <xf numFmtId="0" fontId="4" fillId="0" borderId="2" pivotButton="0" quotePrefix="0" xfId="0"/>
    <xf numFmtId="0" fontId="3" fillId="0" borderId="0" applyAlignment="1" pivotButton="0" quotePrefix="0" xfId="0">
      <alignment horizontal="right" vertical="center"/>
    </xf>
    <xf numFmtId="165" fontId="3" fillId="0" borderId="3" applyAlignment="1" pivotButton="0" quotePrefix="0" xfId="0">
      <alignment horizontal="right" vertical="center"/>
    </xf>
    <xf numFmtId="166" fontId="8" fillId="0" borderId="3" applyAlignment="1" pivotButton="0" quotePrefix="0" xfId="0">
      <alignment horizontal="right" vertical="center"/>
    </xf>
    <xf numFmtId="0" fontId="9" fillId="0" borderId="0" pivotButton="0" quotePrefix="0" xfId="0"/>
    <xf numFmtId="164" fontId="6" fillId="4" borderId="3" applyAlignment="1" pivotButton="0" quotePrefix="0" xfId="0">
      <alignment horizontal="center" vertical="center"/>
    </xf>
    <xf numFmtId="0" fontId="6" fillId="4" borderId="3" pivotButton="0" quotePrefix="0" xfId="0"/>
    <xf numFmtId="0" fontId="6" fillId="4" borderId="3" applyAlignment="1" pivotButton="0" quotePrefix="0" xfId="0">
      <alignment horizontal="left" vertical="center" wrapText="1"/>
    </xf>
    <xf numFmtId="164" fontId="6" fillId="5" borderId="3" applyAlignment="1" pivotButton="0" quotePrefix="0" xfId="0">
      <alignment horizontal="center" vertical="center"/>
    </xf>
    <xf numFmtId="0" fontId="6" fillId="5" borderId="3" pivotButton="0" quotePrefix="0" xfId="0"/>
    <xf numFmtId="0" fontId="6" fillId="5" borderId="3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/>
    </xf>
    <xf numFmtId="0" fontId="0" fillId="3" borderId="0" pivotButton="0" quotePrefix="0" xfId="0"/>
    <xf numFmtId="165" fontId="7" fillId="3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ont>
        <b val="1"/>
        <color rgb="0022C55E"/>
      </font>
      <fill>
        <patternFill patternType="solid">
          <fgColor rgb="00DCFCE7"/>
        </patternFill>
      </fill>
    </dxf>
    <dxf>
      <font>
        <b val="1"/>
        <color rgb="00EF4444"/>
      </font>
      <fill>
        <patternFill patternType="solid">
          <fgColor rgb="00FEE2E2"/>
        </patternFill>
      </fill>
    </dxf>
    <dxf>
      <font>
        <b val="1"/>
        <color rgb="0022C55E"/>
        <sz val="14"/>
      </font>
      <fill>
        <patternFill patternType="solid">
          <fgColor rgb="00DCFCE7"/>
        </patternFill>
      </fill>
    </dxf>
    <dxf>
      <font>
        <b val="1"/>
        <color rgb="00EF4444"/>
        <sz val="14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6" customWidth="1" min="6" max="6"/>
    <col width="18" customWidth="1" min="7" max="7"/>
    <col width="3" customWidth="1" min="8" max="8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6" customHeight="1">
      <c r="B2" s="2" t="inlineStr">
        <is>
          <t>JOB COSTING DASHBOARD</t>
        </is>
      </c>
    </row>
    <row r="3">
      <c r="B3" s="3" t="inlineStr">
        <is>
          <t>Job Name:</t>
        </is>
      </c>
      <c r="C3" s="4" t="n"/>
      <c r="E3" s="3" t="inlineStr">
        <is>
          <t>Job #:</t>
        </is>
      </c>
      <c r="F3" s="4" t="n"/>
    </row>
    <row r="4">
      <c r="B4" s="3" t="inlineStr">
        <is>
          <t>Client:</t>
        </is>
      </c>
      <c r="C4" s="4" t="n"/>
      <c r="E4" s="3" t="inlineStr">
        <is>
          <t>Start Date:</t>
        </is>
      </c>
      <c r="F4" s="5" t="n"/>
    </row>
    <row r="5">
      <c r="B5" s="3" t="inlineStr">
        <is>
          <t>Address:</t>
        </is>
      </c>
      <c r="C5" s="4" t="n"/>
      <c r="E5" s="3" t="inlineStr">
        <is>
          <t>End Date:</t>
        </is>
      </c>
      <c r="F5" s="5" t="n"/>
    </row>
    <row r="6">
      <c r="B6" s="3" t="inlineStr">
        <is>
          <t>Project Manager:</t>
        </is>
      </c>
      <c r="C6" s="4" t="n"/>
      <c r="E6" s="3" t="inlineStr">
        <is>
          <t>Contract Amount:</t>
        </is>
      </c>
      <c r="F6" s="6" t="n"/>
    </row>
    <row r="7" ht="8" customHeight="1">
      <c r="B7" s="7" t="n"/>
      <c r="C7" s="7" t="n"/>
      <c r="D7" s="7" t="n"/>
      <c r="E7" s="7" t="n"/>
      <c r="F7" s="7" t="n"/>
      <c r="G7" s="7" t="n"/>
    </row>
    <row r="8" ht="26" customHeight="1">
      <c r="B8" s="8" t="inlineStr">
        <is>
          <t>COST SUMMARY</t>
        </is>
      </c>
    </row>
    <row r="9" ht="28" customHeight="1">
      <c r="B9" s="9" t="inlineStr">
        <is>
          <t>Category</t>
        </is>
      </c>
      <c r="C9" s="9" t="inlineStr">
        <is>
          <t>Estimated</t>
        </is>
      </c>
      <c r="D9" s="9" t="inlineStr">
        <is>
          <t>Actual</t>
        </is>
      </c>
      <c r="E9" s="9" t="inlineStr">
        <is>
          <t>Variance</t>
        </is>
      </c>
      <c r="F9" s="9" t="inlineStr">
        <is>
          <t>% of Budget</t>
        </is>
      </c>
      <c r="G9" s="9" t="inlineStr">
        <is>
          <t>Status</t>
        </is>
      </c>
    </row>
    <row r="10">
      <c r="B10" s="10" t="inlineStr">
        <is>
          <t>Labor</t>
        </is>
      </c>
      <c r="C10" s="11" t="n"/>
      <c r="D10" s="11">
        <f>Labor!G54</f>
        <v/>
      </c>
      <c r="E10" s="11">
        <f>C10-D10</f>
        <v/>
      </c>
      <c r="F10" s="12">
        <f>IF(C10=0,"",D10/C10)</f>
        <v/>
      </c>
      <c r="G10" s="13">
        <f>IF(C10=0,"",IF(E10&gt;=0,"✓ Under Budget","⚠ Over Budget"))</f>
        <v/>
      </c>
    </row>
    <row r="11">
      <c r="B11" s="14" t="inlineStr">
        <is>
          <t>Materials</t>
        </is>
      </c>
      <c r="C11" s="15" t="n"/>
      <c r="D11" s="15">
        <f>Materials!G54</f>
        <v/>
      </c>
      <c r="E11" s="15">
        <f>C11-D11</f>
        <v/>
      </c>
      <c r="F11" s="16">
        <f>IF(C11=0,"",D11/C11)</f>
        <v/>
      </c>
      <c r="G11" s="17">
        <f>IF(C11=0,"",IF(E11&gt;=0,"✓ Under Budget","⚠ Over Budget"))</f>
        <v/>
      </c>
    </row>
    <row r="12">
      <c r="B12" s="10" t="inlineStr">
        <is>
          <t>Subcontractors</t>
        </is>
      </c>
      <c r="C12" s="11" t="n"/>
      <c r="D12" s="11">
        <f>'Subs &amp; Equipment'!F14</f>
        <v/>
      </c>
      <c r="E12" s="11">
        <f>C12-D12</f>
        <v/>
      </c>
      <c r="F12" s="12">
        <f>IF(C12=0,"",D12/C12)</f>
        <v/>
      </c>
      <c r="G12" s="13">
        <f>IF(C12=0,"",IF(E12&gt;=0,"✓ Under Budget","⚠ Over Budget"))</f>
        <v/>
      </c>
    </row>
    <row r="13">
      <c r="B13" s="14" t="inlineStr">
        <is>
          <t>Equipment</t>
        </is>
      </c>
      <c r="C13" s="15" t="n"/>
      <c r="D13" s="15">
        <f>'Subs &amp; Equipment'!N14</f>
        <v/>
      </c>
      <c r="E13" s="15">
        <f>C13-D13</f>
        <v/>
      </c>
      <c r="F13" s="16">
        <f>IF(C13=0,"",D13/C13)</f>
        <v/>
      </c>
      <c r="G13" s="17">
        <f>IF(C13=0,"",IF(E13&gt;=0,"✓ Under Budget","⚠ Over Budget"))</f>
        <v/>
      </c>
    </row>
    <row r="14">
      <c r="B14" s="10" t="inlineStr">
        <is>
          <t>Change Orders</t>
        </is>
      </c>
      <c r="C14" s="11" t="n"/>
      <c r="D14" s="11">
        <f>'Change Orders'!E24</f>
        <v/>
      </c>
      <c r="E14" s="11">
        <f>C14-D14</f>
        <v/>
      </c>
      <c r="F14" s="12">
        <f>IF(C14=0,"",D14/C14)</f>
        <v/>
      </c>
      <c r="G14" s="13">
        <f>IF(C14=0,"",IF(E14&gt;=0,"✓ Under Budget","⚠ Over Budget"))</f>
        <v/>
      </c>
    </row>
    <row r="15" ht="30" customHeight="1">
      <c r="B15" s="18" t="inlineStr">
        <is>
          <t>TOTAL</t>
        </is>
      </c>
      <c r="C15" s="19">
        <f>SUM(C10:C14)</f>
        <v/>
      </c>
      <c r="D15" s="19">
        <f>SUM(D10:D14)</f>
        <v/>
      </c>
      <c r="E15" s="19">
        <f>C15-D15</f>
        <v/>
      </c>
      <c r="F15" s="20">
        <f>IF(C15=0,"",D15/C15)</f>
        <v/>
      </c>
      <c r="G15" s="21" t="n"/>
    </row>
    <row r="17">
      <c r="B17" s="22" t="inlineStr">
        <is>
          <t>PROFIT / LOSS ANALYSIS</t>
        </is>
      </c>
      <c r="C17" s="7" t="n"/>
      <c r="D17" s="7" t="n"/>
      <c r="E17" s="7" t="n"/>
      <c r="F17" s="7" t="n"/>
      <c r="G17" s="7" t="n"/>
    </row>
    <row r="18">
      <c r="C18" s="23" t="inlineStr">
        <is>
          <t>Contract Amount</t>
        </is>
      </c>
      <c r="E18" s="24">
        <f>F6</f>
        <v/>
      </c>
    </row>
    <row r="19">
      <c r="C19" s="23" t="inlineStr">
        <is>
          <t>Total Costs</t>
        </is>
      </c>
      <c r="E19" s="24">
        <f>D15</f>
        <v/>
      </c>
    </row>
    <row r="20">
      <c r="C20" s="23" t="inlineStr">
        <is>
          <t>Gross Profit</t>
        </is>
      </c>
      <c r="E20" s="24">
        <f>E18-E19</f>
        <v/>
      </c>
    </row>
    <row r="21">
      <c r="C21" s="23" t="inlineStr">
        <is>
          <t>Profit Margin</t>
        </is>
      </c>
      <c r="E21" s="25">
        <f>IF(E18=0,"",E20/E18)</f>
        <v/>
      </c>
    </row>
  </sheetData>
  <mergeCells count="7">
    <mergeCell ref="B2:G2"/>
    <mergeCell ref="C20:D20"/>
    <mergeCell ref="C21:D21"/>
    <mergeCell ref="B17:G17"/>
    <mergeCell ref="C19:D19"/>
    <mergeCell ref="B8:G8"/>
    <mergeCell ref="C18:D18"/>
  </mergeCells>
  <conditionalFormatting sqref="E10:E15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E20">
    <cfRule type="cellIs" priority="3" operator="greaterThanOrEqual" dxfId="2">
      <formula>0</formula>
    </cfRule>
    <cfRule type="cellIs" priority="4" operator="lessThan" dxfId="3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16" customWidth="1" min="4" max="4"/>
    <col width="10" customWidth="1" min="5" max="5"/>
    <col width="12" customWidth="1" min="6" max="6"/>
    <col width="14" customWidth="1" min="7" max="7"/>
    <col width="20" customWidth="1" min="8" max="8"/>
    <col width="20" customWidth="1" min="9" max="9"/>
    <col width="3" customWidth="1" min="10" max="1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B2" s="26" t="inlineStr">
        <is>
          <t>LABOR TRACKING</t>
        </is>
      </c>
    </row>
    <row r="3" ht="28" customHeight="1">
      <c r="B3" s="9" t="inlineStr">
        <is>
          <t>Date</t>
        </is>
      </c>
      <c r="C3" s="9" t="inlineStr">
        <is>
          <t>Employee</t>
        </is>
      </c>
      <c r="D3" s="9" t="inlineStr">
        <is>
          <t>Role</t>
        </is>
      </c>
      <c r="E3" s="9" t="inlineStr">
        <is>
          <t>Hours</t>
        </is>
      </c>
      <c r="F3" s="9" t="inlineStr">
        <is>
          <t>Rate</t>
        </is>
      </c>
      <c r="G3" s="9" t="inlineStr">
        <is>
          <t>Total</t>
        </is>
      </c>
      <c r="H3" s="9" t="inlineStr">
        <is>
          <t>Category</t>
        </is>
      </c>
      <c r="I3" s="9" t="inlineStr">
        <is>
          <t>Notes</t>
        </is>
      </c>
    </row>
    <row r="4">
      <c r="B4" s="27" t="n"/>
      <c r="C4" s="28" t="n"/>
      <c r="D4" s="28" t="n"/>
      <c r="E4" s="13" t="n"/>
      <c r="F4" s="11" t="n"/>
      <c r="G4" s="11">
        <f>IF(E4="","",E4*F4)</f>
        <v/>
      </c>
      <c r="H4" s="28" t="n"/>
      <c r="I4" s="29" t="n"/>
    </row>
    <row r="5">
      <c r="B5" s="30" t="n"/>
      <c r="C5" s="31" t="n"/>
      <c r="D5" s="31" t="n"/>
      <c r="E5" s="17" t="n"/>
      <c r="F5" s="15" t="n"/>
      <c r="G5" s="15">
        <f>IF(E5="","",E5*F5)</f>
        <v/>
      </c>
      <c r="H5" s="31" t="n"/>
      <c r="I5" s="32" t="n"/>
    </row>
    <row r="6">
      <c r="B6" s="27" t="n"/>
      <c r="C6" s="28" t="n"/>
      <c r="D6" s="28" t="n"/>
      <c r="E6" s="13" t="n"/>
      <c r="F6" s="11" t="n"/>
      <c r="G6" s="11">
        <f>IF(E6="","",E6*F6)</f>
        <v/>
      </c>
      <c r="H6" s="28" t="n"/>
      <c r="I6" s="29" t="n"/>
    </row>
    <row r="7">
      <c r="B7" s="30" t="n"/>
      <c r="C7" s="31" t="n"/>
      <c r="D7" s="31" t="n"/>
      <c r="E7" s="17" t="n"/>
      <c r="F7" s="15" t="n"/>
      <c r="G7" s="15">
        <f>IF(E7="","",E7*F7)</f>
        <v/>
      </c>
      <c r="H7" s="31" t="n"/>
      <c r="I7" s="32" t="n"/>
    </row>
    <row r="8">
      <c r="B8" s="27" t="n"/>
      <c r="C8" s="28" t="n"/>
      <c r="D8" s="28" t="n"/>
      <c r="E8" s="13" t="n"/>
      <c r="F8" s="11" t="n"/>
      <c r="G8" s="11">
        <f>IF(E8="","",E8*F8)</f>
        <v/>
      </c>
      <c r="H8" s="28" t="n"/>
      <c r="I8" s="29" t="n"/>
    </row>
    <row r="9">
      <c r="B9" s="30" t="n"/>
      <c r="C9" s="31" t="n"/>
      <c r="D9" s="31" t="n"/>
      <c r="E9" s="17" t="n"/>
      <c r="F9" s="15" t="n"/>
      <c r="G9" s="15">
        <f>IF(E9="","",E9*F9)</f>
        <v/>
      </c>
      <c r="H9" s="31" t="n"/>
      <c r="I9" s="32" t="n"/>
    </row>
    <row r="10">
      <c r="B10" s="27" t="n"/>
      <c r="C10" s="28" t="n"/>
      <c r="D10" s="28" t="n"/>
      <c r="E10" s="13" t="n"/>
      <c r="F10" s="11" t="n"/>
      <c r="G10" s="11">
        <f>IF(E10="","",E10*F10)</f>
        <v/>
      </c>
      <c r="H10" s="28" t="n"/>
      <c r="I10" s="29" t="n"/>
    </row>
    <row r="11">
      <c r="B11" s="30" t="n"/>
      <c r="C11" s="31" t="n"/>
      <c r="D11" s="31" t="n"/>
      <c r="E11" s="17" t="n"/>
      <c r="F11" s="15" t="n"/>
      <c r="G11" s="15">
        <f>IF(E11="","",E11*F11)</f>
        <v/>
      </c>
      <c r="H11" s="31" t="n"/>
      <c r="I11" s="32" t="n"/>
    </row>
    <row r="12">
      <c r="B12" s="27" t="n"/>
      <c r="C12" s="28" t="n"/>
      <c r="D12" s="28" t="n"/>
      <c r="E12" s="13" t="n"/>
      <c r="F12" s="11" t="n"/>
      <c r="G12" s="11">
        <f>IF(E12="","",E12*F12)</f>
        <v/>
      </c>
      <c r="H12" s="28" t="n"/>
      <c r="I12" s="29" t="n"/>
    </row>
    <row r="13">
      <c r="B13" s="30" t="n"/>
      <c r="C13" s="31" t="n"/>
      <c r="D13" s="31" t="n"/>
      <c r="E13" s="17" t="n"/>
      <c r="F13" s="15" t="n"/>
      <c r="G13" s="15">
        <f>IF(E13="","",E13*F13)</f>
        <v/>
      </c>
      <c r="H13" s="31" t="n"/>
      <c r="I13" s="32" t="n"/>
    </row>
    <row r="14">
      <c r="B14" s="27" t="n"/>
      <c r="C14" s="28" t="n"/>
      <c r="D14" s="28" t="n"/>
      <c r="E14" s="13" t="n"/>
      <c r="F14" s="11" t="n"/>
      <c r="G14" s="11">
        <f>IF(E14="","",E14*F14)</f>
        <v/>
      </c>
      <c r="H14" s="28" t="n"/>
      <c r="I14" s="29" t="n"/>
    </row>
    <row r="15">
      <c r="B15" s="30" t="n"/>
      <c r="C15" s="31" t="n"/>
      <c r="D15" s="31" t="n"/>
      <c r="E15" s="17" t="n"/>
      <c r="F15" s="15" t="n"/>
      <c r="G15" s="15">
        <f>IF(E15="","",E15*F15)</f>
        <v/>
      </c>
      <c r="H15" s="31" t="n"/>
      <c r="I15" s="32" t="n"/>
    </row>
    <row r="16">
      <c r="B16" s="27" t="n"/>
      <c r="C16" s="28" t="n"/>
      <c r="D16" s="28" t="n"/>
      <c r="E16" s="13" t="n"/>
      <c r="F16" s="11" t="n"/>
      <c r="G16" s="11">
        <f>IF(E16="","",E16*F16)</f>
        <v/>
      </c>
      <c r="H16" s="28" t="n"/>
      <c r="I16" s="29" t="n"/>
    </row>
    <row r="17">
      <c r="B17" s="30" t="n"/>
      <c r="C17" s="31" t="n"/>
      <c r="D17" s="31" t="n"/>
      <c r="E17" s="17" t="n"/>
      <c r="F17" s="15" t="n"/>
      <c r="G17" s="15">
        <f>IF(E17="","",E17*F17)</f>
        <v/>
      </c>
      <c r="H17" s="31" t="n"/>
      <c r="I17" s="32" t="n"/>
    </row>
    <row r="18">
      <c r="B18" s="27" t="n"/>
      <c r="C18" s="28" t="n"/>
      <c r="D18" s="28" t="n"/>
      <c r="E18" s="13" t="n"/>
      <c r="F18" s="11" t="n"/>
      <c r="G18" s="11">
        <f>IF(E18="","",E18*F18)</f>
        <v/>
      </c>
      <c r="H18" s="28" t="n"/>
      <c r="I18" s="29" t="n"/>
    </row>
    <row r="19">
      <c r="B19" s="30" t="n"/>
      <c r="C19" s="31" t="n"/>
      <c r="D19" s="31" t="n"/>
      <c r="E19" s="17" t="n"/>
      <c r="F19" s="15" t="n"/>
      <c r="G19" s="15">
        <f>IF(E19="","",E19*F19)</f>
        <v/>
      </c>
      <c r="H19" s="31" t="n"/>
      <c r="I19" s="32" t="n"/>
    </row>
    <row r="20">
      <c r="B20" s="27" t="n"/>
      <c r="C20" s="28" t="n"/>
      <c r="D20" s="28" t="n"/>
      <c r="E20" s="13" t="n"/>
      <c r="F20" s="11" t="n"/>
      <c r="G20" s="11">
        <f>IF(E20="","",E20*F20)</f>
        <v/>
      </c>
      <c r="H20" s="28" t="n"/>
      <c r="I20" s="29" t="n"/>
    </row>
    <row r="21">
      <c r="B21" s="30" t="n"/>
      <c r="C21" s="31" t="n"/>
      <c r="D21" s="31" t="n"/>
      <c r="E21" s="17" t="n"/>
      <c r="F21" s="15" t="n"/>
      <c r="G21" s="15">
        <f>IF(E21="","",E21*F21)</f>
        <v/>
      </c>
      <c r="H21" s="31" t="n"/>
      <c r="I21" s="32" t="n"/>
    </row>
    <row r="22">
      <c r="B22" s="27" t="n"/>
      <c r="C22" s="28" t="n"/>
      <c r="D22" s="28" t="n"/>
      <c r="E22" s="13" t="n"/>
      <c r="F22" s="11" t="n"/>
      <c r="G22" s="11">
        <f>IF(E22="","",E22*F22)</f>
        <v/>
      </c>
      <c r="H22" s="28" t="n"/>
      <c r="I22" s="29" t="n"/>
    </row>
    <row r="23">
      <c r="B23" s="30" t="n"/>
      <c r="C23" s="31" t="n"/>
      <c r="D23" s="31" t="n"/>
      <c r="E23" s="17" t="n"/>
      <c r="F23" s="15" t="n"/>
      <c r="G23" s="15">
        <f>IF(E23="","",E23*F23)</f>
        <v/>
      </c>
      <c r="H23" s="31" t="n"/>
      <c r="I23" s="32" t="n"/>
    </row>
    <row r="24">
      <c r="B24" s="27" t="n"/>
      <c r="C24" s="28" t="n"/>
      <c r="D24" s="28" t="n"/>
      <c r="E24" s="13" t="n"/>
      <c r="F24" s="11" t="n"/>
      <c r="G24" s="11">
        <f>IF(E24="","",E24*F24)</f>
        <v/>
      </c>
      <c r="H24" s="28" t="n"/>
      <c r="I24" s="29" t="n"/>
    </row>
    <row r="25">
      <c r="B25" s="30" t="n"/>
      <c r="C25" s="31" t="n"/>
      <c r="D25" s="31" t="n"/>
      <c r="E25" s="17" t="n"/>
      <c r="F25" s="15" t="n"/>
      <c r="G25" s="15">
        <f>IF(E25="","",E25*F25)</f>
        <v/>
      </c>
      <c r="H25" s="31" t="n"/>
      <c r="I25" s="32" t="n"/>
    </row>
    <row r="26">
      <c r="B26" s="27" t="n"/>
      <c r="C26" s="28" t="n"/>
      <c r="D26" s="28" t="n"/>
      <c r="E26" s="13" t="n"/>
      <c r="F26" s="11" t="n"/>
      <c r="G26" s="11">
        <f>IF(E26="","",E26*F26)</f>
        <v/>
      </c>
      <c r="H26" s="28" t="n"/>
      <c r="I26" s="29" t="n"/>
    </row>
    <row r="27">
      <c r="B27" s="30" t="n"/>
      <c r="C27" s="31" t="n"/>
      <c r="D27" s="31" t="n"/>
      <c r="E27" s="17" t="n"/>
      <c r="F27" s="15" t="n"/>
      <c r="G27" s="15">
        <f>IF(E27="","",E27*F27)</f>
        <v/>
      </c>
      <c r="H27" s="31" t="n"/>
      <c r="I27" s="32" t="n"/>
    </row>
    <row r="28">
      <c r="B28" s="27" t="n"/>
      <c r="C28" s="28" t="n"/>
      <c r="D28" s="28" t="n"/>
      <c r="E28" s="13" t="n"/>
      <c r="F28" s="11" t="n"/>
      <c r="G28" s="11">
        <f>IF(E28="","",E28*F28)</f>
        <v/>
      </c>
      <c r="H28" s="28" t="n"/>
      <c r="I28" s="29" t="n"/>
    </row>
    <row r="29">
      <c r="B29" s="30" t="n"/>
      <c r="C29" s="31" t="n"/>
      <c r="D29" s="31" t="n"/>
      <c r="E29" s="17" t="n"/>
      <c r="F29" s="15" t="n"/>
      <c r="G29" s="15">
        <f>IF(E29="","",E29*F29)</f>
        <v/>
      </c>
      <c r="H29" s="31" t="n"/>
      <c r="I29" s="32" t="n"/>
    </row>
    <row r="30">
      <c r="B30" s="27" t="n"/>
      <c r="C30" s="28" t="n"/>
      <c r="D30" s="28" t="n"/>
      <c r="E30" s="13" t="n"/>
      <c r="F30" s="11" t="n"/>
      <c r="G30" s="11">
        <f>IF(E30="","",E30*F30)</f>
        <v/>
      </c>
      <c r="H30" s="28" t="n"/>
      <c r="I30" s="29" t="n"/>
    </row>
    <row r="31">
      <c r="B31" s="30" t="n"/>
      <c r="C31" s="31" t="n"/>
      <c r="D31" s="31" t="n"/>
      <c r="E31" s="17" t="n"/>
      <c r="F31" s="15" t="n"/>
      <c r="G31" s="15">
        <f>IF(E31="","",E31*F31)</f>
        <v/>
      </c>
      <c r="H31" s="31" t="n"/>
      <c r="I31" s="32" t="n"/>
    </row>
    <row r="32">
      <c r="B32" s="27" t="n"/>
      <c r="C32" s="28" t="n"/>
      <c r="D32" s="28" t="n"/>
      <c r="E32" s="13" t="n"/>
      <c r="F32" s="11" t="n"/>
      <c r="G32" s="11">
        <f>IF(E32="","",E32*F32)</f>
        <v/>
      </c>
      <c r="H32" s="28" t="n"/>
      <c r="I32" s="29" t="n"/>
    </row>
    <row r="33">
      <c r="B33" s="30" t="n"/>
      <c r="C33" s="31" t="n"/>
      <c r="D33" s="31" t="n"/>
      <c r="E33" s="17" t="n"/>
      <c r="F33" s="15" t="n"/>
      <c r="G33" s="15">
        <f>IF(E33="","",E33*F33)</f>
        <v/>
      </c>
      <c r="H33" s="31" t="n"/>
      <c r="I33" s="32" t="n"/>
    </row>
    <row r="34">
      <c r="B34" s="27" t="n"/>
      <c r="C34" s="28" t="n"/>
      <c r="D34" s="28" t="n"/>
      <c r="E34" s="13" t="n"/>
      <c r="F34" s="11" t="n"/>
      <c r="G34" s="11">
        <f>IF(E34="","",E34*F34)</f>
        <v/>
      </c>
      <c r="H34" s="28" t="n"/>
      <c r="I34" s="29" t="n"/>
    </row>
    <row r="35">
      <c r="B35" s="30" t="n"/>
      <c r="C35" s="31" t="n"/>
      <c r="D35" s="31" t="n"/>
      <c r="E35" s="17" t="n"/>
      <c r="F35" s="15" t="n"/>
      <c r="G35" s="15">
        <f>IF(E35="","",E35*F35)</f>
        <v/>
      </c>
      <c r="H35" s="31" t="n"/>
      <c r="I35" s="32" t="n"/>
    </row>
    <row r="36">
      <c r="B36" s="27" t="n"/>
      <c r="C36" s="28" t="n"/>
      <c r="D36" s="28" t="n"/>
      <c r="E36" s="13" t="n"/>
      <c r="F36" s="11" t="n"/>
      <c r="G36" s="11">
        <f>IF(E36="","",E36*F36)</f>
        <v/>
      </c>
      <c r="H36" s="28" t="n"/>
      <c r="I36" s="29" t="n"/>
    </row>
    <row r="37">
      <c r="B37" s="30" t="n"/>
      <c r="C37" s="31" t="n"/>
      <c r="D37" s="31" t="n"/>
      <c r="E37" s="17" t="n"/>
      <c r="F37" s="15" t="n"/>
      <c r="G37" s="15">
        <f>IF(E37="","",E37*F37)</f>
        <v/>
      </c>
      <c r="H37" s="31" t="n"/>
      <c r="I37" s="32" t="n"/>
    </row>
    <row r="38">
      <c r="B38" s="27" t="n"/>
      <c r="C38" s="28" t="n"/>
      <c r="D38" s="28" t="n"/>
      <c r="E38" s="13" t="n"/>
      <c r="F38" s="11" t="n"/>
      <c r="G38" s="11">
        <f>IF(E38="","",E38*F38)</f>
        <v/>
      </c>
      <c r="H38" s="28" t="n"/>
      <c r="I38" s="29" t="n"/>
    </row>
    <row r="39">
      <c r="B39" s="30" t="n"/>
      <c r="C39" s="31" t="n"/>
      <c r="D39" s="31" t="n"/>
      <c r="E39" s="17" t="n"/>
      <c r="F39" s="15" t="n"/>
      <c r="G39" s="15">
        <f>IF(E39="","",E39*F39)</f>
        <v/>
      </c>
      <c r="H39" s="31" t="n"/>
      <c r="I39" s="32" t="n"/>
    </row>
    <row r="40">
      <c r="B40" s="27" t="n"/>
      <c r="C40" s="28" t="n"/>
      <c r="D40" s="28" t="n"/>
      <c r="E40" s="13" t="n"/>
      <c r="F40" s="11" t="n"/>
      <c r="G40" s="11">
        <f>IF(E40="","",E40*F40)</f>
        <v/>
      </c>
      <c r="H40" s="28" t="n"/>
      <c r="I40" s="29" t="n"/>
    </row>
    <row r="41">
      <c r="B41" s="30" t="n"/>
      <c r="C41" s="31" t="n"/>
      <c r="D41" s="31" t="n"/>
      <c r="E41" s="17" t="n"/>
      <c r="F41" s="15" t="n"/>
      <c r="G41" s="15">
        <f>IF(E41="","",E41*F41)</f>
        <v/>
      </c>
      <c r="H41" s="31" t="n"/>
      <c r="I41" s="32" t="n"/>
    </row>
    <row r="42">
      <c r="B42" s="27" t="n"/>
      <c r="C42" s="28" t="n"/>
      <c r="D42" s="28" t="n"/>
      <c r="E42" s="13" t="n"/>
      <c r="F42" s="11" t="n"/>
      <c r="G42" s="11">
        <f>IF(E42="","",E42*F42)</f>
        <v/>
      </c>
      <c r="H42" s="28" t="n"/>
      <c r="I42" s="29" t="n"/>
    </row>
    <row r="43">
      <c r="B43" s="30" t="n"/>
      <c r="C43" s="31" t="n"/>
      <c r="D43" s="31" t="n"/>
      <c r="E43" s="17" t="n"/>
      <c r="F43" s="15" t="n"/>
      <c r="G43" s="15">
        <f>IF(E43="","",E43*F43)</f>
        <v/>
      </c>
      <c r="H43" s="31" t="n"/>
      <c r="I43" s="32" t="n"/>
    </row>
    <row r="44">
      <c r="B44" s="27" t="n"/>
      <c r="C44" s="28" t="n"/>
      <c r="D44" s="28" t="n"/>
      <c r="E44" s="13" t="n"/>
      <c r="F44" s="11" t="n"/>
      <c r="G44" s="11">
        <f>IF(E44="","",E44*F44)</f>
        <v/>
      </c>
      <c r="H44" s="28" t="n"/>
      <c r="I44" s="29" t="n"/>
    </row>
    <row r="45">
      <c r="B45" s="30" t="n"/>
      <c r="C45" s="31" t="n"/>
      <c r="D45" s="31" t="n"/>
      <c r="E45" s="17" t="n"/>
      <c r="F45" s="15" t="n"/>
      <c r="G45" s="15">
        <f>IF(E45="","",E45*F45)</f>
        <v/>
      </c>
      <c r="H45" s="31" t="n"/>
      <c r="I45" s="32" t="n"/>
    </row>
    <row r="46">
      <c r="B46" s="27" t="n"/>
      <c r="C46" s="28" t="n"/>
      <c r="D46" s="28" t="n"/>
      <c r="E46" s="13" t="n"/>
      <c r="F46" s="11" t="n"/>
      <c r="G46" s="11">
        <f>IF(E46="","",E46*F46)</f>
        <v/>
      </c>
      <c r="H46" s="28" t="n"/>
      <c r="I46" s="29" t="n"/>
    </row>
    <row r="47">
      <c r="B47" s="30" t="n"/>
      <c r="C47" s="31" t="n"/>
      <c r="D47" s="31" t="n"/>
      <c r="E47" s="17" t="n"/>
      <c r="F47" s="15" t="n"/>
      <c r="G47" s="15">
        <f>IF(E47="","",E47*F47)</f>
        <v/>
      </c>
      <c r="H47" s="31" t="n"/>
      <c r="I47" s="32" t="n"/>
    </row>
    <row r="48">
      <c r="B48" s="27" t="n"/>
      <c r="C48" s="28" t="n"/>
      <c r="D48" s="28" t="n"/>
      <c r="E48" s="13" t="n"/>
      <c r="F48" s="11" t="n"/>
      <c r="G48" s="11">
        <f>IF(E48="","",E48*F48)</f>
        <v/>
      </c>
      <c r="H48" s="28" t="n"/>
      <c r="I48" s="29" t="n"/>
    </row>
    <row r="49">
      <c r="B49" s="30" t="n"/>
      <c r="C49" s="31" t="n"/>
      <c r="D49" s="31" t="n"/>
      <c r="E49" s="17" t="n"/>
      <c r="F49" s="15" t="n"/>
      <c r="G49" s="15">
        <f>IF(E49="","",E49*F49)</f>
        <v/>
      </c>
      <c r="H49" s="31" t="n"/>
      <c r="I49" s="32" t="n"/>
    </row>
    <row r="50">
      <c r="B50" s="27" t="n"/>
      <c r="C50" s="28" t="n"/>
      <c r="D50" s="28" t="n"/>
      <c r="E50" s="13" t="n"/>
      <c r="F50" s="11" t="n"/>
      <c r="G50" s="11">
        <f>IF(E50="","",E50*F50)</f>
        <v/>
      </c>
      <c r="H50" s="28" t="n"/>
      <c r="I50" s="29" t="n"/>
    </row>
    <row r="51">
      <c r="B51" s="30" t="n"/>
      <c r="C51" s="31" t="n"/>
      <c r="D51" s="31" t="n"/>
      <c r="E51" s="17" t="n"/>
      <c r="F51" s="15" t="n"/>
      <c r="G51" s="15">
        <f>IF(E51="","",E51*F51)</f>
        <v/>
      </c>
      <c r="H51" s="31" t="n"/>
      <c r="I51" s="32" t="n"/>
    </row>
    <row r="52">
      <c r="B52" s="27" t="n"/>
      <c r="C52" s="28" t="n"/>
      <c r="D52" s="28" t="n"/>
      <c r="E52" s="13" t="n"/>
      <c r="F52" s="11" t="n"/>
      <c r="G52" s="11">
        <f>IF(E52="","",E52*F52)</f>
        <v/>
      </c>
      <c r="H52" s="28" t="n"/>
      <c r="I52" s="29" t="n"/>
    </row>
    <row r="53">
      <c r="B53" s="30" t="n"/>
      <c r="C53" s="31" t="n"/>
      <c r="D53" s="31" t="n"/>
      <c r="E53" s="17" t="n"/>
      <c r="F53" s="15" t="n"/>
      <c r="G53" s="15">
        <f>IF(E53="","",E53*F53)</f>
        <v/>
      </c>
      <c r="H53" s="31" t="n"/>
      <c r="I53" s="32" t="n"/>
    </row>
    <row r="54" ht="30" customHeight="1">
      <c r="B54" s="33" t="inlineStr">
        <is>
          <t>TOTAL LABOR COST</t>
        </is>
      </c>
      <c r="C54" s="34" t="n"/>
      <c r="D54" s="34" t="n"/>
      <c r="E54" s="34" t="n"/>
      <c r="F54" s="34" t="n"/>
      <c r="G54" s="35">
        <f>SUM(G4:G53)</f>
        <v/>
      </c>
    </row>
  </sheetData>
  <mergeCells count="2">
    <mergeCell ref="B54:F54"/>
    <mergeCell ref="B2:I2"/>
  </mergeCells>
  <dataValidations count="1">
    <dataValidation sqref="H4:H53" showDropDown="0" showInputMessage="0" showErrorMessage="0" allowBlank="1" prompt="Select category" type="list">
      <formula1>"Demo,Rough-in,Finish,Punch list,Travel"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22" customWidth="1" min="4" max="4"/>
    <col width="10" customWidth="1" min="5" max="5"/>
    <col width="12" customWidth="1" min="6" max="6"/>
    <col width="14" customWidth="1" min="7" max="7"/>
    <col width="16" customWidth="1" min="8" max="8"/>
    <col width="18" customWidth="1" min="9" max="9"/>
    <col width="3" customWidth="1" min="10" max="1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B2" s="26" t="inlineStr">
        <is>
          <t>MATERIALS TRACKING</t>
        </is>
      </c>
    </row>
    <row r="3" ht="28" customHeight="1">
      <c r="B3" s="9" t="inlineStr">
        <is>
          <t>Date</t>
        </is>
      </c>
      <c r="C3" s="9" t="inlineStr">
        <is>
          <t>Supplier</t>
        </is>
      </c>
      <c r="D3" s="9" t="inlineStr">
        <is>
          <t>Description</t>
        </is>
      </c>
      <c r="E3" s="9" t="inlineStr">
        <is>
          <t>Qty</t>
        </is>
      </c>
      <c r="F3" s="9" t="inlineStr">
        <is>
          <t>Unit Cost</t>
        </is>
      </c>
      <c r="G3" s="9" t="inlineStr">
        <is>
          <t>Total</t>
        </is>
      </c>
      <c r="H3" s="9" t="inlineStr">
        <is>
          <t>Receipt #</t>
        </is>
      </c>
      <c r="I3" s="9" t="inlineStr">
        <is>
          <t>Category</t>
        </is>
      </c>
    </row>
    <row r="4">
      <c r="B4" s="27" t="n"/>
      <c r="C4" s="28" t="n"/>
      <c r="D4" s="28" t="n"/>
      <c r="E4" s="13" t="n"/>
      <c r="F4" s="11" t="n"/>
      <c r="G4" s="11">
        <f>IF(E4="","",E4*F4)</f>
        <v/>
      </c>
      <c r="H4" s="28" t="n"/>
      <c r="I4" s="28" t="n"/>
    </row>
    <row r="5">
      <c r="B5" s="30" t="n"/>
      <c r="C5" s="31" t="n"/>
      <c r="D5" s="31" t="n"/>
      <c r="E5" s="17" t="n"/>
      <c r="F5" s="15" t="n"/>
      <c r="G5" s="15">
        <f>IF(E5="","",E5*F5)</f>
        <v/>
      </c>
      <c r="H5" s="31" t="n"/>
      <c r="I5" s="31" t="n"/>
    </row>
    <row r="6">
      <c r="B6" s="27" t="n"/>
      <c r="C6" s="28" t="n"/>
      <c r="D6" s="28" t="n"/>
      <c r="E6" s="13" t="n"/>
      <c r="F6" s="11" t="n"/>
      <c r="G6" s="11">
        <f>IF(E6="","",E6*F6)</f>
        <v/>
      </c>
      <c r="H6" s="28" t="n"/>
      <c r="I6" s="28" t="n"/>
    </row>
    <row r="7">
      <c r="B7" s="30" t="n"/>
      <c r="C7" s="31" t="n"/>
      <c r="D7" s="31" t="n"/>
      <c r="E7" s="17" t="n"/>
      <c r="F7" s="15" t="n"/>
      <c r="G7" s="15">
        <f>IF(E7="","",E7*F7)</f>
        <v/>
      </c>
      <c r="H7" s="31" t="n"/>
      <c r="I7" s="31" t="n"/>
    </row>
    <row r="8">
      <c r="B8" s="27" t="n"/>
      <c r="C8" s="28" t="n"/>
      <c r="D8" s="28" t="n"/>
      <c r="E8" s="13" t="n"/>
      <c r="F8" s="11" t="n"/>
      <c r="G8" s="11">
        <f>IF(E8="","",E8*F8)</f>
        <v/>
      </c>
      <c r="H8" s="28" t="n"/>
      <c r="I8" s="28" t="n"/>
    </row>
    <row r="9">
      <c r="B9" s="30" t="n"/>
      <c r="C9" s="31" t="n"/>
      <c r="D9" s="31" t="n"/>
      <c r="E9" s="17" t="n"/>
      <c r="F9" s="15" t="n"/>
      <c r="G9" s="15">
        <f>IF(E9="","",E9*F9)</f>
        <v/>
      </c>
      <c r="H9" s="31" t="n"/>
      <c r="I9" s="31" t="n"/>
    </row>
    <row r="10">
      <c r="B10" s="27" t="n"/>
      <c r="C10" s="28" t="n"/>
      <c r="D10" s="28" t="n"/>
      <c r="E10" s="13" t="n"/>
      <c r="F10" s="11" t="n"/>
      <c r="G10" s="11">
        <f>IF(E10="","",E10*F10)</f>
        <v/>
      </c>
      <c r="H10" s="28" t="n"/>
      <c r="I10" s="28" t="n"/>
    </row>
    <row r="11">
      <c r="B11" s="30" t="n"/>
      <c r="C11" s="31" t="n"/>
      <c r="D11" s="31" t="n"/>
      <c r="E11" s="17" t="n"/>
      <c r="F11" s="15" t="n"/>
      <c r="G11" s="15">
        <f>IF(E11="","",E11*F11)</f>
        <v/>
      </c>
      <c r="H11" s="31" t="n"/>
      <c r="I11" s="31" t="n"/>
    </row>
    <row r="12">
      <c r="B12" s="27" t="n"/>
      <c r="C12" s="28" t="n"/>
      <c r="D12" s="28" t="n"/>
      <c r="E12" s="13" t="n"/>
      <c r="F12" s="11" t="n"/>
      <c r="G12" s="11">
        <f>IF(E12="","",E12*F12)</f>
        <v/>
      </c>
      <c r="H12" s="28" t="n"/>
      <c r="I12" s="28" t="n"/>
    </row>
    <row r="13">
      <c r="B13" s="30" t="n"/>
      <c r="C13" s="31" t="n"/>
      <c r="D13" s="31" t="n"/>
      <c r="E13" s="17" t="n"/>
      <c r="F13" s="15" t="n"/>
      <c r="G13" s="15">
        <f>IF(E13="","",E13*F13)</f>
        <v/>
      </c>
      <c r="H13" s="31" t="n"/>
      <c r="I13" s="31" t="n"/>
    </row>
    <row r="14">
      <c r="B14" s="27" t="n"/>
      <c r="C14" s="28" t="n"/>
      <c r="D14" s="28" t="n"/>
      <c r="E14" s="13" t="n"/>
      <c r="F14" s="11" t="n"/>
      <c r="G14" s="11">
        <f>IF(E14="","",E14*F14)</f>
        <v/>
      </c>
      <c r="H14" s="28" t="n"/>
      <c r="I14" s="28" t="n"/>
    </row>
    <row r="15">
      <c r="B15" s="30" t="n"/>
      <c r="C15" s="31" t="n"/>
      <c r="D15" s="31" t="n"/>
      <c r="E15" s="17" t="n"/>
      <c r="F15" s="15" t="n"/>
      <c r="G15" s="15">
        <f>IF(E15="","",E15*F15)</f>
        <v/>
      </c>
      <c r="H15" s="31" t="n"/>
      <c r="I15" s="31" t="n"/>
    </row>
    <row r="16">
      <c r="B16" s="27" t="n"/>
      <c r="C16" s="28" t="n"/>
      <c r="D16" s="28" t="n"/>
      <c r="E16" s="13" t="n"/>
      <c r="F16" s="11" t="n"/>
      <c r="G16" s="11">
        <f>IF(E16="","",E16*F16)</f>
        <v/>
      </c>
      <c r="H16" s="28" t="n"/>
      <c r="I16" s="28" t="n"/>
    </row>
    <row r="17">
      <c r="B17" s="30" t="n"/>
      <c r="C17" s="31" t="n"/>
      <c r="D17" s="31" t="n"/>
      <c r="E17" s="17" t="n"/>
      <c r="F17" s="15" t="n"/>
      <c r="G17" s="15">
        <f>IF(E17="","",E17*F17)</f>
        <v/>
      </c>
      <c r="H17" s="31" t="n"/>
      <c r="I17" s="31" t="n"/>
    </row>
    <row r="18">
      <c r="B18" s="27" t="n"/>
      <c r="C18" s="28" t="n"/>
      <c r="D18" s="28" t="n"/>
      <c r="E18" s="13" t="n"/>
      <c r="F18" s="11" t="n"/>
      <c r="G18" s="11">
        <f>IF(E18="","",E18*F18)</f>
        <v/>
      </c>
      <c r="H18" s="28" t="n"/>
      <c r="I18" s="28" t="n"/>
    </row>
    <row r="19">
      <c r="B19" s="30" t="n"/>
      <c r="C19" s="31" t="n"/>
      <c r="D19" s="31" t="n"/>
      <c r="E19" s="17" t="n"/>
      <c r="F19" s="15" t="n"/>
      <c r="G19" s="15">
        <f>IF(E19="","",E19*F19)</f>
        <v/>
      </c>
      <c r="H19" s="31" t="n"/>
      <c r="I19" s="31" t="n"/>
    </row>
    <row r="20">
      <c r="B20" s="27" t="n"/>
      <c r="C20" s="28" t="n"/>
      <c r="D20" s="28" t="n"/>
      <c r="E20" s="13" t="n"/>
      <c r="F20" s="11" t="n"/>
      <c r="G20" s="11">
        <f>IF(E20="","",E20*F20)</f>
        <v/>
      </c>
      <c r="H20" s="28" t="n"/>
      <c r="I20" s="28" t="n"/>
    </row>
    <row r="21">
      <c r="B21" s="30" t="n"/>
      <c r="C21" s="31" t="n"/>
      <c r="D21" s="31" t="n"/>
      <c r="E21" s="17" t="n"/>
      <c r="F21" s="15" t="n"/>
      <c r="G21" s="15">
        <f>IF(E21="","",E21*F21)</f>
        <v/>
      </c>
      <c r="H21" s="31" t="n"/>
      <c r="I21" s="31" t="n"/>
    </row>
    <row r="22">
      <c r="B22" s="27" t="n"/>
      <c r="C22" s="28" t="n"/>
      <c r="D22" s="28" t="n"/>
      <c r="E22" s="13" t="n"/>
      <c r="F22" s="11" t="n"/>
      <c r="G22" s="11">
        <f>IF(E22="","",E22*F22)</f>
        <v/>
      </c>
      <c r="H22" s="28" t="n"/>
      <c r="I22" s="28" t="n"/>
    </row>
    <row r="23">
      <c r="B23" s="30" t="n"/>
      <c r="C23" s="31" t="n"/>
      <c r="D23" s="31" t="n"/>
      <c r="E23" s="17" t="n"/>
      <c r="F23" s="15" t="n"/>
      <c r="G23" s="15">
        <f>IF(E23="","",E23*F23)</f>
        <v/>
      </c>
      <c r="H23" s="31" t="n"/>
      <c r="I23" s="31" t="n"/>
    </row>
    <row r="24">
      <c r="B24" s="27" t="n"/>
      <c r="C24" s="28" t="n"/>
      <c r="D24" s="28" t="n"/>
      <c r="E24" s="13" t="n"/>
      <c r="F24" s="11" t="n"/>
      <c r="G24" s="11">
        <f>IF(E24="","",E24*F24)</f>
        <v/>
      </c>
      <c r="H24" s="28" t="n"/>
      <c r="I24" s="28" t="n"/>
    </row>
    <row r="25">
      <c r="B25" s="30" t="n"/>
      <c r="C25" s="31" t="n"/>
      <c r="D25" s="31" t="n"/>
      <c r="E25" s="17" t="n"/>
      <c r="F25" s="15" t="n"/>
      <c r="G25" s="15">
        <f>IF(E25="","",E25*F25)</f>
        <v/>
      </c>
      <c r="H25" s="31" t="n"/>
      <c r="I25" s="31" t="n"/>
    </row>
    <row r="26">
      <c r="B26" s="27" t="n"/>
      <c r="C26" s="28" t="n"/>
      <c r="D26" s="28" t="n"/>
      <c r="E26" s="13" t="n"/>
      <c r="F26" s="11" t="n"/>
      <c r="G26" s="11">
        <f>IF(E26="","",E26*F26)</f>
        <v/>
      </c>
      <c r="H26" s="28" t="n"/>
      <c r="I26" s="28" t="n"/>
    </row>
    <row r="27">
      <c r="B27" s="30" t="n"/>
      <c r="C27" s="31" t="n"/>
      <c r="D27" s="31" t="n"/>
      <c r="E27" s="17" t="n"/>
      <c r="F27" s="15" t="n"/>
      <c r="G27" s="15">
        <f>IF(E27="","",E27*F27)</f>
        <v/>
      </c>
      <c r="H27" s="31" t="n"/>
      <c r="I27" s="31" t="n"/>
    </row>
    <row r="28">
      <c r="B28" s="27" t="n"/>
      <c r="C28" s="28" t="n"/>
      <c r="D28" s="28" t="n"/>
      <c r="E28" s="13" t="n"/>
      <c r="F28" s="11" t="n"/>
      <c r="G28" s="11">
        <f>IF(E28="","",E28*F28)</f>
        <v/>
      </c>
      <c r="H28" s="28" t="n"/>
      <c r="I28" s="28" t="n"/>
    </row>
    <row r="29">
      <c r="B29" s="30" t="n"/>
      <c r="C29" s="31" t="n"/>
      <c r="D29" s="31" t="n"/>
      <c r="E29" s="17" t="n"/>
      <c r="F29" s="15" t="n"/>
      <c r="G29" s="15">
        <f>IF(E29="","",E29*F29)</f>
        <v/>
      </c>
      <c r="H29" s="31" t="n"/>
      <c r="I29" s="31" t="n"/>
    </row>
    <row r="30">
      <c r="B30" s="27" t="n"/>
      <c r="C30" s="28" t="n"/>
      <c r="D30" s="28" t="n"/>
      <c r="E30" s="13" t="n"/>
      <c r="F30" s="11" t="n"/>
      <c r="G30" s="11">
        <f>IF(E30="","",E30*F30)</f>
        <v/>
      </c>
      <c r="H30" s="28" t="n"/>
      <c r="I30" s="28" t="n"/>
    </row>
    <row r="31">
      <c r="B31" s="30" t="n"/>
      <c r="C31" s="31" t="n"/>
      <c r="D31" s="31" t="n"/>
      <c r="E31" s="17" t="n"/>
      <c r="F31" s="15" t="n"/>
      <c r="G31" s="15">
        <f>IF(E31="","",E31*F31)</f>
        <v/>
      </c>
      <c r="H31" s="31" t="n"/>
      <c r="I31" s="31" t="n"/>
    </row>
    <row r="32">
      <c r="B32" s="27" t="n"/>
      <c r="C32" s="28" t="n"/>
      <c r="D32" s="28" t="n"/>
      <c r="E32" s="13" t="n"/>
      <c r="F32" s="11" t="n"/>
      <c r="G32" s="11">
        <f>IF(E32="","",E32*F32)</f>
        <v/>
      </c>
      <c r="H32" s="28" t="n"/>
      <c r="I32" s="28" t="n"/>
    </row>
    <row r="33">
      <c r="B33" s="30" t="n"/>
      <c r="C33" s="31" t="n"/>
      <c r="D33" s="31" t="n"/>
      <c r="E33" s="17" t="n"/>
      <c r="F33" s="15" t="n"/>
      <c r="G33" s="15">
        <f>IF(E33="","",E33*F33)</f>
        <v/>
      </c>
      <c r="H33" s="31" t="n"/>
      <c r="I33" s="31" t="n"/>
    </row>
    <row r="34">
      <c r="B34" s="27" t="n"/>
      <c r="C34" s="28" t="n"/>
      <c r="D34" s="28" t="n"/>
      <c r="E34" s="13" t="n"/>
      <c r="F34" s="11" t="n"/>
      <c r="G34" s="11">
        <f>IF(E34="","",E34*F34)</f>
        <v/>
      </c>
      <c r="H34" s="28" t="n"/>
      <c r="I34" s="28" t="n"/>
    </row>
    <row r="35">
      <c r="B35" s="30" t="n"/>
      <c r="C35" s="31" t="n"/>
      <c r="D35" s="31" t="n"/>
      <c r="E35" s="17" t="n"/>
      <c r="F35" s="15" t="n"/>
      <c r="G35" s="15">
        <f>IF(E35="","",E35*F35)</f>
        <v/>
      </c>
      <c r="H35" s="31" t="n"/>
      <c r="I35" s="31" t="n"/>
    </row>
    <row r="36">
      <c r="B36" s="27" t="n"/>
      <c r="C36" s="28" t="n"/>
      <c r="D36" s="28" t="n"/>
      <c r="E36" s="13" t="n"/>
      <c r="F36" s="11" t="n"/>
      <c r="G36" s="11">
        <f>IF(E36="","",E36*F36)</f>
        <v/>
      </c>
      <c r="H36" s="28" t="n"/>
      <c r="I36" s="28" t="n"/>
    </row>
    <row r="37">
      <c r="B37" s="30" t="n"/>
      <c r="C37" s="31" t="n"/>
      <c r="D37" s="31" t="n"/>
      <c r="E37" s="17" t="n"/>
      <c r="F37" s="15" t="n"/>
      <c r="G37" s="15">
        <f>IF(E37="","",E37*F37)</f>
        <v/>
      </c>
      <c r="H37" s="31" t="n"/>
      <c r="I37" s="31" t="n"/>
    </row>
    <row r="38">
      <c r="B38" s="27" t="n"/>
      <c r="C38" s="28" t="n"/>
      <c r="D38" s="28" t="n"/>
      <c r="E38" s="13" t="n"/>
      <c r="F38" s="11" t="n"/>
      <c r="G38" s="11">
        <f>IF(E38="","",E38*F38)</f>
        <v/>
      </c>
      <c r="H38" s="28" t="n"/>
      <c r="I38" s="28" t="n"/>
    </row>
    <row r="39">
      <c r="B39" s="30" t="n"/>
      <c r="C39" s="31" t="n"/>
      <c r="D39" s="31" t="n"/>
      <c r="E39" s="17" t="n"/>
      <c r="F39" s="15" t="n"/>
      <c r="G39" s="15">
        <f>IF(E39="","",E39*F39)</f>
        <v/>
      </c>
      <c r="H39" s="31" t="n"/>
      <c r="I39" s="31" t="n"/>
    </row>
    <row r="40">
      <c r="B40" s="27" t="n"/>
      <c r="C40" s="28" t="n"/>
      <c r="D40" s="28" t="n"/>
      <c r="E40" s="13" t="n"/>
      <c r="F40" s="11" t="n"/>
      <c r="G40" s="11">
        <f>IF(E40="","",E40*F40)</f>
        <v/>
      </c>
      <c r="H40" s="28" t="n"/>
      <c r="I40" s="28" t="n"/>
    </row>
    <row r="41">
      <c r="B41" s="30" t="n"/>
      <c r="C41" s="31" t="n"/>
      <c r="D41" s="31" t="n"/>
      <c r="E41" s="17" t="n"/>
      <c r="F41" s="15" t="n"/>
      <c r="G41" s="15">
        <f>IF(E41="","",E41*F41)</f>
        <v/>
      </c>
      <c r="H41" s="31" t="n"/>
      <c r="I41" s="31" t="n"/>
    </row>
    <row r="42">
      <c r="B42" s="27" t="n"/>
      <c r="C42" s="28" t="n"/>
      <c r="D42" s="28" t="n"/>
      <c r="E42" s="13" t="n"/>
      <c r="F42" s="11" t="n"/>
      <c r="G42" s="11">
        <f>IF(E42="","",E42*F42)</f>
        <v/>
      </c>
      <c r="H42" s="28" t="n"/>
      <c r="I42" s="28" t="n"/>
    </row>
    <row r="43">
      <c r="B43" s="30" t="n"/>
      <c r="C43" s="31" t="n"/>
      <c r="D43" s="31" t="n"/>
      <c r="E43" s="17" t="n"/>
      <c r="F43" s="15" t="n"/>
      <c r="G43" s="15">
        <f>IF(E43="","",E43*F43)</f>
        <v/>
      </c>
      <c r="H43" s="31" t="n"/>
      <c r="I43" s="31" t="n"/>
    </row>
    <row r="44">
      <c r="B44" s="27" t="n"/>
      <c r="C44" s="28" t="n"/>
      <c r="D44" s="28" t="n"/>
      <c r="E44" s="13" t="n"/>
      <c r="F44" s="11" t="n"/>
      <c r="G44" s="11">
        <f>IF(E44="","",E44*F44)</f>
        <v/>
      </c>
      <c r="H44" s="28" t="n"/>
      <c r="I44" s="28" t="n"/>
    </row>
    <row r="45">
      <c r="B45" s="30" t="n"/>
      <c r="C45" s="31" t="n"/>
      <c r="D45" s="31" t="n"/>
      <c r="E45" s="17" t="n"/>
      <c r="F45" s="15" t="n"/>
      <c r="G45" s="15">
        <f>IF(E45="","",E45*F45)</f>
        <v/>
      </c>
      <c r="H45" s="31" t="n"/>
      <c r="I45" s="31" t="n"/>
    </row>
    <row r="46">
      <c r="B46" s="27" t="n"/>
      <c r="C46" s="28" t="n"/>
      <c r="D46" s="28" t="n"/>
      <c r="E46" s="13" t="n"/>
      <c r="F46" s="11" t="n"/>
      <c r="G46" s="11">
        <f>IF(E46="","",E46*F46)</f>
        <v/>
      </c>
      <c r="H46" s="28" t="n"/>
      <c r="I46" s="28" t="n"/>
    </row>
    <row r="47">
      <c r="B47" s="30" t="n"/>
      <c r="C47" s="31" t="n"/>
      <c r="D47" s="31" t="n"/>
      <c r="E47" s="17" t="n"/>
      <c r="F47" s="15" t="n"/>
      <c r="G47" s="15">
        <f>IF(E47="","",E47*F47)</f>
        <v/>
      </c>
      <c r="H47" s="31" t="n"/>
      <c r="I47" s="31" t="n"/>
    </row>
    <row r="48">
      <c r="B48" s="27" t="n"/>
      <c r="C48" s="28" t="n"/>
      <c r="D48" s="28" t="n"/>
      <c r="E48" s="13" t="n"/>
      <c r="F48" s="11" t="n"/>
      <c r="G48" s="11">
        <f>IF(E48="","",E48*F48)</f>
        <v/>
      </c>
      <c r="H48" s="28" t="n"/>
      <c r="I48" s="28" t="n"/>
    </row>
    <row r="49">
      <c r="B49" s="30" t="n"/>
      <c r="C49" s="31" t="n"/>
      <c r="D49" s="31" t="n"/>
      <c r="E49" s="17" t="n"/>
      <c r="F49" s="15" t="n"/>
      <c r="G49" s="15">
        <f>IF(E49="","",E49*F49)</f>
        <v/>
      </c>
      <c r="H49" s="31" t="n"/>
      <c r="I49" s="31" t="n"/>
    </row>
    <row r="50">
      <c r="B50" s="27" t="n"/>
      <c r="C50" s="28" t="n"/>
      <c r="D50" s="28" t="n"/>
      <c r="E50" s="13" t="n"/>
      <c r="F50" s="11" t="n"/>
      <c r="G50" s="11">
        <f>IF(E50="","",E50*F50)</f>
        <v/>
      </c>
      <c r="H50" s="28" t="n"/>
      <c r="I50" s="28" t="n"/>
    </row>
    <row r="51">
      <c r="B51" s="30" t="n"/>
      <c r="C51" s="31" t="n"/>
      <c r="D51" s="31" t="n"/>
      <c r="E51" s="17" t="n"/>
      <c r="F51" s="15" t="n"/>
      <c r="G51" s="15">
        <f>IF(E51="","",E51*F51)</f>
        <v/>
      </c>
      <c r="H51" s="31" t="n"/>
      <c r="I51" s="31" t="n"/>
    </row>
    <row r="52">
      <c r="B52" s="27" t="n"/>
      <c r="C52" s="28" t="n"/>
      <c r="D52" s="28" t="n"/>
      <c r="E52" s="13" t="n"/>
      <c r="F52" s="11" t="n"/>
      <c r="G52" s="11">
        <f>IF(E52="","",E52*F52)</f>
        <v/>
      </c>
      <c r="H52" s="28" t="n"/>
      <c r="I52" s="28" t="n"/>
    </row>
    <row r="53">
      <c r="B53" s="30" t="n"/>
      <c r="C53" s="31" t="n"/>
      <c r="D53" s="31" t="n"/>
      <c r="E53" s="17" t="n"/>
      <c r="F53" s="15" t="n"/>
      <c r="G53" s="15">
        <f>IF(E53="","",E53*F53)</f>
        <v/>
      </c>
      <c r="H53" s="31" t="n"/>
      <c r="I53" s="31" t="n"/>
    </row>
    <row r="54" ht="30" customHeight="1">
      <c r="B54" s="33" t="inlineStr">
        <is>
          <t>TOTAL MATERIALS COST</t>
        </is>
      </c>
      <c r="C54" s="34" t="n"/>
      <c r="D54" s="34" t="n"/>
      <c r="E54" s="34" t="n"/>
      <c r="F54" s="34" t="n"/>
      <c r="G54" s="35">
        <f>SUM(G4:G53)</f>
        <v/>
      </c>
    </row>
  </sheetData>
  <mergeCells count="2">
    <mergeCell ref="B54:F54"/>
    <mergeCell ref="B2:I2"/>
  </mergeCells>
  <dataValidations count="1">
    <dataValidation sqref="I4:I53" showDropDown="0" showInputMessage="0" showErrorMessage="0" allowBlank="1" type="list">
      <formula1>"Lumber,Electrical,Plumbing,Drywall,Paint,Hardware,Fixtures,Concrete,Roofing,Other"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  <col width="3" customWidth="1" min="8" max="8"/>
    <col width="14" customWidth="1" min="9" max="9"/>
    <col width="18" customWidth="1" min="10" max="10"/>
    <col width="16" customWidth="1" min="11" max="11"/>
    <col width="10" customWidth="1" min="12" max="12"/>
    <col width="12" customWidth="1" min="13" max="13"/>
    <col width="14" customWidth="1" min="14" max="14"/>
    <col width="3" customWidth="1" min="15" max="15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B2" s="26" t="inlineStr">
        <is>
          <t>SUBCONTRACTORS</t>
        </is>
      </c>
      <c r="I2" s="26" t="inlineStr">
        <is>
          <t>EQUIPMENT RENTALS</t>
        </is>
      </c>
    </row>
    <row r="3" ht="28" customHeight="1">
      <c r="B3" s="9" t="inlineStr">
        <is>
          <t>Date</t>
        </is>
      </c>
      <c r="C3" s="9" t="inlineStr">
        <is>
          <t>Name</t>
        </is>
      </c>
      <c r="D3" s="9" t="inlineStr">
        <is>
          <t>Scope of Work</t>
        </is>
      </c>
      <c r="E3" s="9" t="inlineStr">
        <is>
          <t>Quote</t>
        </is>
      </c>
      <c r="F3" s="9" t="inlineStr">
        <is>
          <t>Actual</t>
        </is>
      </c>
      <c r="G3" s="9" t="inlineStr">
        <is>
          <t>Variance</t>
        </is>
      </c>
      <c r="I3" s="9" t="inlineStr">
        <is>
          <t>Date</t>
        </is>
      </c>
      <c r="J3" s="9" t="inlineStr">
        <is>
          <t>Item</t>
        </is>
      </c>
      <c r="K3" s="9" t="inlineStr">
        <is>
          <t>Vendor</t>
        </is>
      </c>
      <c r="L3" s="9" t="inlineStr">
        <is>
          <t>Days</t>
        </is>
      </c>
      <c r="M3" s="9" t="inlineStr">
        <is>
          <t>Rate</t>
        </is>
      </c>
      <c r="N3" s="9" t="inlineStr">
        <is>
          <t>Total</t>
        </is>
      </c>
    </row>
    <row r="4">
      <c r="B4" s="27" t="n"/>
      <c r="C4" s="28" t="n"/>
      <c r="D4" s="29" t="n"/>
      <c r="E4" s="11" t="n"/>
      <c r="F4" s="11" t="n"/>
      <c r="G4" s="11">
        <f>IF(E4="","",E4-F4)</f>
        <v/>
      </c>
      <c r="I4" s="27" t="n"/>
      <c r="J4" s="28" t="n"/>
      <c r="K4" s="28" t="n"/>
      <c r="L4" s="13" t="n"/>
      <c r="M4" s="11" t="n"/>
      <c r="N4" s="11">
        <f>IF(L4="","",L4*M4)</f>
        <v/>
      </c>
    </row>
    <row r="5">
      <c r="B5" s="30" t="n"/>
      <c r="C5" s="31" t="n"/>
      <c r="D5" s="32" t="n"/>
      <c r="E5" s="15" t="n"/>
      <c r="F5" s="15" t="n"/>
      <c r="G5" s="15">
        <f>IF(E5="","",E5-F5)</f>
        <v/>
      </c>
      <c r="I5" s="30" t="n"/>
      <c r="J5" s="31" t="n"/>
      <c r="K5" s="31" t="n"/>
      <c r="L5" s="17" t="n"/>
      <c r="M5" s="15" t="n"/>
      <c r="N5" s="15">
        <f>IF(L5="","",L5*M5)</f>
        <v/>
      </c>
    </row>
    <row r="6">
      <c r="B6" s="27" t="n"/>
      <c r="C6" s="28" t="n"/>
      <c r="D6" s="29" t="n"/>
      <c r="E6" s="11" t="n"/>
      <c r="F6" s="11" t="n"/>
      <c r="G6" s="11">
        <f>IF(E6="","",E6-F6)</f>
        <v/>
      </c>
      <c r="I6" s="27" t="n"/>
      <c r="J6" s="28" t="n"/>
      <c r="K6" s="28" t="n"/>
      <c r="L6" s="13" t="n"/>
      <c r="M6" s="11" t="n"/>
      <c r="N6" s="11">
        <f>IF(L6="","",L6*M6)</f>
        <v/>
      </c>
    </row>
    <row r="7">
      <c r="B7" s="30" t="n"/>
      <c r="C7" s="31" t="n"/>
      <c r="D7" s="32" t="n"/>
      <c r="E7" s="15" t="n"/>
      <c r="F7" s="15" t="n"/>
      <c r="G7" s="15">
        <f>IF(E7="","",E7-F7)</f>
        <v/>
      </c>
      <c r="I7" s="30" t="n"/>
      <c r="J7" s="31" t="n"/>
      <c r="K7" s="31" t="n"/>
      <c r="L7" s="17" t="n"/>
      <c r="M7" s="15" t="n"/>
      <c r="N7" s="15">
        <f>IF(L7="","",L7*M7)</f>
        <v/>
      </c>
    </row>
    <row r="8">
      <c r="B8" s="27" t="n"/>
      <c r="C8" s="28" t="n"/>
      <c r="D8" s="29" t="n"/>
      <c r="E8" s="11" t="n"/>
      <c r="F8" s="11" t="n"/>
      <c r="G8" s="11">
        <f>IF(E8="","",E8-F8)</f>
        <v/>
      </c>
      <c r="I8" s="27" t="n"/>
      <c r="J8" s="28" t="n"/>
      <c r="K8" s="28" t="n"/>
      <c r="L8" s="13" t="n"/>
      <c r="M8" s="11" t="n"/>
      <c r="N8" s="11">
        <f>IF(L8="","",L8*M8)</f>
        <v/>
      </c>
    </row>
    <row r="9">
      <c r="B9" s="30" t="n"/>
      <c r="C9" s="31" t="n"/>
      <c r="D9" s="32" t="n"/>
      <c r="E9" s="15" t="n"/>
      <c r="F9" s="15" t="n"/>
      <c r="G9" s="15">
        <f>IF(E9="","",E9-F9)</f>
        <v/>
      </c>
      <c r="I9" s="30" t="n"/>
      <c r="J9" s="31" t="n"/>
      <c r="K9" s="31" t="n"/>
      <c r="L9" s="17" t="n"/>
      <c r="M9" s="15" t="n"/>
      <c r="N9" s="15">
        <f>IF(L9="","",L9*M9)</f>
        <v/>
      </c>
    </row>
    <row r="10">
      <c r="B10" s="27" t="n"/>
      <c r="C10" s="28" t="n"/>
      <c r="D10" s="29" t="n"/>
      <c r="E10" s="11" t="n"/>
      <c r="F10" s="11" t="n"/>
      <c r="G10" s="11">
        <f>IF(E10="","",E10-F10)</f>
        <v/>
      </c>
      <c r="I10" s="27" t="n"/>
      <c r="J10" s="28" t="n"/>
      <c r="K10" s="28" t="n"/>
      <c r="L10" s="13" t="n"/>
      <c r="M10" s="11" t="n"/>
      <c r="N10" s="11">
        <f>IF(L10="","",L10*M10)</f>
        <v/>
      </c>
    </row>
    <row r="11">
      <c r="B11" s="30" t="n"/>
      <c r="C11" s="31" t="n"/>
      <c r="D11" s="32" t="n"/>
      <c r="E11" s="15" t="n"/>
      <c r="F11" s="15" t="n"/>
      <c r="G11" s="15">
        <f>IF(E11="","",E11-F11)</f>
        <v/>
      </c>
      <c r="I11" s="30" t="n"/>
      <c r="J11" s="31" t="n"/>
      <c r="K11" s="31" t="n"/>
      <c r="L11" s="17" t="n"/>
      <c r="M11" s="15" t="n"/>
      <c r="N11" s="15">
        <f>IF(L11="","",L11*M11)</f>
        <v/>
      </c>
    </row>
    <row r="12">
      <c r="B12" s="27" t="n"/>
      <c r="C12" s="28" t="n"/>
      <c r="D12" s="29" t="n"/>
      <c r="E12" s="11" t="n"/>
      <c r="F12" s="11" t="n"/>
      <c r="G12" s="11">
        <f>IF(E12="","",E12-F12)</f>
        <v/>
      </c>
      <c r="I12" s="27" t="n"/>
      <c r="J12" s="28" t="n"/>
      <c r="K12" s="28" t="n"/>
      <c r="L12" s="13" t="n"/>
      <c r="M12" s="11" t="n"/>
      <c r="N12" s="11">
        <f>IF(L12="","",L12*M12)</f>
        <v/>
      </c>
    </row>
    <row r="13">
      <c r="B13" s="30" t="n"/>
      <c r="C13" s="31" t="n"/>
      <c r="D13" s="32" t="n"/>
      <c r="E13" s="15" t="n"/>
      <c r="F13" s="15" t="n"/>
      <c r="G13" s="15">
        <f>IF(E13="","",E13-F13)</f>
        <v/>
      </c>
      <c r="I13" s="30" t="n"/>
      <c r="J13" s="31" t="n"/>
      <c r="K13" s="31" t="n"/>
      <c r="L13" s="17" t="n"/>
      <c r="M13" s="15" t="n"/>
      <c r="N13" s="15">
        <f>IF(L13="","",L13*M13)</f>
        <v/>
      </c>
    </row>
    <row r="14" ht="28" customHeight="1">
      <c r="B14" s="36" t="inlineStr">
        <is>
          <t>SUBCONTRACTOR TOTAL</t>
        </is>
      </c>
      <c r="C14" s="34" t="n"/>
      <c r="D14" s="34" t="n"/>
      <c r="E14" s="34" t="n"/>
      <c r="F14" s="37">
        <f>SUM(F4:F13)</f>
        <v/>
      </c>
      <c r="G14" s="34" t="n"/>
      <c r="I14" s="36" t="inlineStr">
        <is>
          <t>EQUIPMENT TOTAL</t>
        </is>
      </c>
      <c r="J14" s="34" t="n"/>
      <c r="K14" s="34" t="n"/>
      <c r="L14" s="34" t="n"/>
      <c r="M14" s="34" t="n"/>
      <c r="N14" s="37">
        <f>SUM(N4:N13)</f>
        <v/>
      </c>
    </row>
  </sheetData>
  <mergeCells count="4">
    <mergeCell ref="B2:G2"/>
    <mergeCell ref="I14:K14"/>
    <mergeCell ref="I2:N2"/>
    <mergeCell ref="B14:E14"/>
  </mergeCells>
  <conditionalFormatting sqref="G4:G13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36" customWidth="1" min="4" max="4"/>
    <col width="16" customWidth="1" min="5" max="5"/>
    <col width="18" customWidth="1" min="6" max="6"/>
    <col width="16" customWidth="1" min="7" max="7"/>
    <col width="3" customWidth="1" min="8" max="8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0" customHeight="1">
      <c r="B2" s="26" t="inlineStr">
        <is>
          <t>CHANGE ORDERS</t>
        </is>
      </c>
    </row>
    <row r="3" ht="28" customHeight="1">
      <c r="B3" s="9" t="inlineStr">
        <is>
          <t>CO #</t>
        </is>
      </c>
      <c r="C3" s="9" t="inlineStr">
        <is>
          <t>Date</t>
        </is>
      </c>
      <c r="D3" s="9" t="inlineStr">
        <is>
          <t>Description</t>
        </is>
      </c>
      <c r="E3" s="9" t="inlineStr">
        <is>
          <t>Amount</t>
        </is>
      </c>
      <c r="F3" s="9" t="inlineStr">
        <is>
          <t>Approved By</t>
        </is>
      </c>
      <c r="G3" s="9" t="inlineStr">
        <is>
          <t>Status</t>
        </is>
      </c>
    </row>
    <row r="4">
      <c r="B4" s="13" t="n"/>
      <c r="C4" s="27" t="n"/>
      <c r="D4" s="29" t="n"/>
      <c r="E4" s="11" t="n"/>
      <c r="F4" s="28" t="n"/>
      <c r="G4" s="28" t="n"/>
    </row>
    <row r="5">
      <c r="B5" s="17" t="n"/>
      <c r="C5" s="30" t="n"/>
      <c r="D5" s="32" t="n"/>
      <c r="E5" s="15" t="n"/>
      <c r="F5" s="31" t="n"/>
      <c r="G5" s="31" t="n"/>
    </row>
    <row r="6">
      <c r="B6" s="13" t="n"/>
      <c r="C6" s="27" t="n"/>
      <c r="D6" s="29" t="n"/>
      <c r="E6" s="11" t="n"/>
      <c r="F6" s="28" t="n"/>
      <c r="G6" s="28" t="n"/>
    </row>
    <row r="7">
      <c r="B7" s="17" t="n"/>
      <c r="C7" s="30" t="n"/>
      <c r="D7" s="32" t="n"/>
      <c r="E7" s="15" t="n"/>
      <c r="F7" s="31" t="n"/>
      <c r="G7" s="31" t="n"/>
    </row>
    <row r="8">
      <c r="B8" s="13" t="n"/>
      <c r="C8" s="27" t="n"/>
      <c r="D8" s="29" t="n"/>
      <c r="E8" s="11" t="n"/>
      <c r="F8" s="28" t="n"/>
      <c r="G8" s="28" t="n"/>
    </row>
    <row r="9">
      <c r="B9" s="17" t="n"/>
      <c r="C9" s="30" t="n"/>
      <c r="D9" s="32" t="n"/>
      <c r="E9" s="15" t="n"/>
      <c r="F9" s="31" t="n"/>
      <c r="G9" s="31" t="n"/>
    </row>
    <row r="10">
      <c r="B10" s="13" t="n"/>
      <c r="C10" s="27" t="n"/>
      <c r="D10" s="29" t="n"/>
      <c r="E10" s="11" t="n"/>
      <c r="F10" s="28" t="n"/>
      <c r="G10" s="28" t="n"/>
    </row>
    <row r="11">
      <c r="B11" s="17" t="n"/>
      <c r="C11" s="30" t="n"/>
      <c r="D11" s="32" t="n"/>
      <c r="E11" s="15" t="n"/>
      <c r="F11" s="31" t="n"/>
      <c r="G11" s="31" t="n"/>
    </row>
    <row r="12">
      <c r="B12" s="13" t="n"/>
      <c r="C12" s="27" t="n"/>
      <c r="D12" s="29" t="n"/>
      <c r="E12" s="11" t="n"/>
      <c r="F12" s="28" t="n"/>
      <c r="G12" s="28" t="n"/>
    </row>
    <row r="13">
      <c r="B13" s="17" t="n"/>
      <c r="C13" s="30" t="n"/>
      <c r="D13" s="32" t="n"/>
      <c r="E13" s="15" t="n"/>
      <c r="F13" s="31" t="n"/>
      <c r="G13" s="31" t="n"/>
    </row>
    <row r="14">
      <c r="B14" s="13" t="n"/>
      <c r="C14" s="27" t="n"/>
      <c r="D14" s="29" t="n"/>
      <c r="E14" s="11" t="n"/>
      <c r="F14" s="28" t="n"/>
      <c r="G14" s="28" t="n"/>
    </row>
    <row r="15">
      <c r="B15" s="17" t="n"/>
      <c r="C15" s="30" t="n"/>
      <c r="D15" s="32" t="n"/>
      <c r="E15" s="15" t="n"/>
      <c r="F15" s="31" t="n"/>
      <c r="G15" s="31" t="n"/>
    </row>
    <row r="16">
      <c r="B16" s="13" t="n"/>
      <c r="C16" s="27" t="n"/>
      <c r="D16" s="29" t="n"/>
      <c r="E16" s="11" t="n"/>
      <c r="F16" s="28" t="n"/>
      <c r="G16" s="28" t="n"/>
    </row>
    <row r="17">
      <c r="B17" s="17" t="n"/>
      <c r="C17" s="30" t="n"/>
      <c r="D17" s="32" t="n"/>
      <c r="E17" s="15" t="n"/>
      <c r="F17" s="31" t="n"/>
      <c r="G17" s="31" t="n"/>
    </row>
    <row r="18">
      <c r="B18" s="13" t="n"/>
      <c r="C18" s="27" t="n"/>
      <c r="D18" s="29" t="n"/>
      <c r="E18" s="11" t="n"/>
      <c r="F18" s="28" t="n"/>
      <c r="G18" s="28" t="n"/>
    </row>
    <row r="19">
      <c r="B19" s="17" t="n"/>
      <c r="C19" s="30" t="n"/>
      <c r="D19" s="32" t="n"/>
      <c r="E19" s="15" t="n"/>
      <c r="F19" s="31" t="n"/>
      <c r="G19" s="31" t="n"/>
    </row>
    <row r="20">
      <c r="B20" s="13" t="n"/>
      <c r="C20" s="27" t="n"/>
      <c r="D20" s="29" t="n"/>
      <c r="E20" s="11" t="n"/>
      <c r="F20" s="28" t="n"/>
      <c r="G20" s="28" t="n"/>
    </row>
    <row r="21">
      <c r="B21" s="17" t="n"/>
      <c r="C21" s="30" t="n"/>
      <c r="D21" s="32" t="n"/>
      <c r="E21" s="15" t="n"/>
      <c r="F21" s="31" t="n"/>
      <c r="G21" s="31" t="n"/>
    </row>
    <row r="22">
      <c r="B22" s="13" t="n"/>
      <c r="C22" s="27" t="n"/>
      <c r="D22" s="29" t="n"/>
      <c r="E22" s="11" t="n"/>
      <c r="F22" s="28" t="n"/>
      <c r="G22" s="28" t="n"/>
    </row>
    <row r="23">
      <c r="B23" s="17" t="n"/>
      <c r="C23" s="30" t="n"/>
      <c r="D23" s="32" t="n"/>
      <c r="E23" s="15" t="n"/>
      <c r="F23" s="31" t="n"/>
      <c r="G23" s="31" t="n"/>
    </row>
    <row r="24" ht="30" customHeight="1">
      <c r="B24" s="36" t="inlineStr">
        <is>
          <t>TOTAL APPROVED CHANGE ORDERS</t>
        </is>
      </c>
      <c r="C24" s="34" t="n"/>
      <c r="D24" s="34" t="n"/>
      <c r="E24" s="35">
        <f>SUMIF(G4:G23,"Approved",E4:E23)</f>
        <v/>
      </c>
      <c r="F24" s="34" t="n"/>
      <c r="G24" s="34" t="n"/>
    </row>
  </sheetData>
  <mergeCells count="2">
    <mergeCell ref="B2:G2"/>
    <mergeCell ref="B24:D24"/>
  </mergeCells>
  <dataValidations count="1">
    <dataValidation sqref="G4:G23" showDropDown="0" showInputMessage="0" showErrorMessage="0" allowBlank="1" prompt="Select status" type="list">
      <formula1>"Pending,Approved,Rejected"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2026-03-08T09:03:36Z</dcterms:created>
  <dcterms:modified xmlns:dcterms="http://purl.org/dc/terms/" xmlns:xsi="http://www.w3.org/2001/XMLSchema-instance" xsi:type="dcterms:W3CDTF">2026-03-08T09:03:36Z</dcterms:modified>
</cp:coreProperties>
</file>