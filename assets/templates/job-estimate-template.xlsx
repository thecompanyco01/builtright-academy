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  <sheet xmlns:r="http://schemas.openxmlformats.org/officeDocument/2006/relationships" name="Estimate vs Actual" sheetId="2" state="visible" r:id="rId2"/>
  </sheets>
  <definedNames>
    <definedName name="_xlnm.Print_Area" localSheetId="0">'Estimate'!$A$1:$G$98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.00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A1A2E"/>
      <sz val="20"/>
    </font>
    <font>
      <name val="Calibri"/>
      <color rgb="006B7280"/>
      <sz val="10"/>
    </font>
    <font>
      <name val="Calibri"/>
      <b val="1"/>
      <color rgb="001A1A2E"/>
      <sz val="28"/>
    </font>
    <font>
      <name val="Calibri"/>
      <b val="1"/>
      <color rgb="001F2937"/>
      <sz val="11"/>
    </font>
    <font>
      <name val="Calibri"/>
      <color rgb="001F2937"/>
      <sz val="11"/>
    </font>
    <font>
      <name val="Calibri"/>
      <b val="1"/>
      <color rgb="00F97316"/>
      <sz val="12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97316"/>
      <sz val="14"/>
    </font>
    <font>
      <name val="Calibri"/>
      <b val="1"/>
      <color rgb="00F97316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A1A2E"/>
      <sz val="16"/>
    </font>
  </fonts>
  <fills count="7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1A1A2E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bottom style="medium">
        <color rgb="00F97316"/>
      </bottom>
    </border>
    <border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1A1A2E"/>
      </top>
      <bottom style="thin">
        <color rgb="00E5E7EB"/>
      </bottom>
    </border>
    <border>
      <bottom style="thin">
        <color rgb="001F2937"/>
      </bottom>
    </border>
    <border>
      <top style="medium">
        <color rgb="001A1A2E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164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0" fillId="0" borderId="2" pivotButton="0" quotePrefix="0" xfId="0"/>
    <xf numFmtId="0" fontId="7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8" fillId="4" borderId="3" applyAlignment="1" pivotButton="0" quotePrefix="0" xfId="0">
      <alignment horizontal="center" vertical="center"/>
    </xf>
    <xf numFmtId="0" fontId="5" fillId="5" borderId="3" pivotButton="0" quotePrefix="0" xfId="0"/>
    <xf numFmtId="0" fontId="5" fillId="5" borderId="3" applyAlignment="1" pivotButton="0" quotePrefix="0" xfId="0">
      <alignment horizontal="center" vertical="center"/>
    </xf>
    <xf numFmtId="165" fontId="5" fillId="5" borderId="3" applyAlignment="1" pivotButton="0" quotePrefix="0" xfId="0">
      <alignment horizontal="right" vertical="center"/>
    </xf>
    <xf numFmtId="0" fontId="5" fillId="6" borderId="3" pivotButton="0" quotePrefix="0" xfId="0"/>
    <xf numFmtId="0" fontId="5" fillId="6" borderId="3" applyAlignment="1" pivotButton="0" quotePrefix="0" xfId="0">
      <alignment horizontal="center" vertical="center"/>
    </xf>
    <xf numFmtId="165" fontId="5" fillId="6" borderId="3" applyAlignment="1" pivotButton="0" quotePrefix="0" xfId="0">
      <alignment horizontal="right" vertical="center"/>
    </xf>
    <xf numFmtId="165" fontId="4" fillId="0" borderId="4" applyAlignment="1" pivotButton="0" quotePrefix="0" xfId="0">
      <alignment horizontal="right" vertical="center"/>
    </xf>
    <xf numFmtId="0" fontId="9" fillId="0" borderId="1" pivotButton="0" quotePrefix="0" xfId="0"/>
    <xf numFmtId="165" fontId="4" fillId="0" borderId="3" applyAlignment="1" pivotButton="0" quotePrefix="0" xfId="0">
      <alignment horizontal="right" vertical="center"/>
    </xf>
    <xf numFmtId="166" fontId="10" fillId="0" borderId="3" applyAlignment="1" pivotButton="0" quotePrefix="0" xfId="0">
      <alignment horizontal="right" vertical="center"/>
    </xf>
    <xf numFmtId="165" fontId="0" fillId="0" borderId="3" applyAlignment="1" pivotButton="0" quotePrefix="0" xfId="0">
      <alignment horizontal="right" vertical="center"/>
    </xf>
    <xf numFmtId="0" fontId="11" fillId="3" borderId="0" applyAlignment="1" pivotButton="0" quotePrefix="0" xfId="0">
      <alignment horizontal="right" vertical="center"/>
    </xf>
    <xf numFmtId="165" fontId="11" fillId="3" borderId="0" applyAlignment="1" pivotButton="0" quotePrefix="0" xfId="0">
      <alignment horizontal="right" vertical="center"/>
    </xf>
    <xf numFmtId="0" fontId="6" fillId="0" borderId="1" pivotButton="0" quotePrefix="0" xfId="0"/>
    <xf numFmtId="0" fontId="12" fillId="3" borderId="3" applyAlignment="1" pivotButton="0" quotePrefix="0" xfId="0">
      <alignment horizontal="center" vertical="center"/>
    </xf>
    <xf numFmtId="164" fontId="5" fillId="6" borderId="3" pivotButton="0" quotePrefix="0" xfId="0"/>
    <xf numFmtId="164" fontId="5" fillId="5" borderId="3" pivotButton="0" quotePrefix="0" xfId="0"/>
    <xf numFmtId="0" fontId="1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14" fillId="0" borderId="0" pivotButton="0" quotePrefix="0" xfId="0"/>
    <xf numFmtId="0" fontId="8" fillId="4" borderId="0" pivotButton="0" quotePrefix="0" xfId="0"/>
    <xf numFmtId="0" fontId="0" fillId="4" borderId="0" pivotButton="0" quotePrefix="0" xfId="0"/>
    <xf numFmtId="165" fontId="5" fillId="5" borderId="3" pivotButton="0" quotePrefix="0" xfId="0"/>
    <xf numFmtId="166" fontId="5" fillId="5" borderId="3" pivotButton="0" quotePrefix="0" xfId="0"/>
    <xf numFmtId="165" fontId="5" fillId="6" borderId="3" pivotButton="0" quotePrefix="0" xfId="0"/>
    <xf numFmtId="166" fontId="5" fillId="6" borderId="3" pivotButton="0" quotePrefix="0" xfId="0"/>
    <xf numFmtId="0" fontId="4" fillId="0" borderId="6" applyAlignment="1" pivotButton="0" quotePrefix="0" xfId="0">
      <alignment horizontal="right" vertical="center"/>
    </xf>
    <xf numFmtId="165" fontId="4" fillId="0" borderId="6" pivotButton="0" quotePrefix="0" xfId="0"/>
    <xf numFmtId="166" fontId="4" fillId="0" borderId="6" pivotButton="0" quotePrefix="0" xfId="0"/>
    <xf numFmtId="0" fontId="7" fillId="3" borderId="0" applyAlignment="1" pivotButton="0" quotePrefix="0" xfId="0">
      <alignment horizontal="right" vertical="center"/>
    </xf>
    <xf numFmtId="165" fontId="12" fillId="3" borderId="3" pivotButton="0" quotePrefix="0" xfId="0"/>
    <xf numFmtId="166" fontId="12" fillId="3" borderId="3" pivotButton="0" quotePrefix="0" xfId="0"/>
  </cellXfs>
  <cellStyles count="1">
    <cellStyle name="Normal" xfId="0" builtinId="0" hidden="0"/>
  </cellStyles>
  <dxfs count="2">
    <dxf>
      <font>
        <b val="1"/>
        <color rgb="0022C55E"/>
      </font>
      <fill>
        <patternFill patternType="solid">
          <fgColor rgb="00DCFCE7"/>
        </patternFill>
      </fill>
    </dxf>
    <dxf>
      <font>
        <b val="1"/>
        <color rgb="00EF4444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2" customWidth="1" min="3" max="3"/>
    <col width="14" customWidth="1" min="4" max="4"/>
    <col width="16" customWidth="1" min="5" max="5"/>
    <col width="18" customWidth="1" min="6" max="6"/>
    <col width="3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2" ht="36" customHeight="1">
      <c r="B2" s="2" t="inlineStr">
        <is>
          <t>YOUR COMPANY NAME</t>
        </is>
      </c>
      <c r="E2" s="3" t="inlineStr">
        <is>
          <t>ESTIMATE</t>
        </is>
      </c>
    </row>
    <row r="3">
      <c r="B3" s="4" t="inlineStr">
        <is>
          <t>123 Business Street, City, State ZIP</t>
        </is>
      </c>
      <c r="E3" s="5" t="inlineStr">
        <is>
          <t>Estimate #:</t>
        </is>
      </c>
      <c r="F3" s="6" t="inlineStr">
        <is>
          <t>EST-001</t>
        </is>
      </c>
    </row>
    <row r="4">
      <c r="B4" s="4" t="inlineStr">
        <is>
          <t>Phone: (555) 000-0000  |  Email: info@yourcompany.com</t>
        </is>
      </c>
      <c r="E4" s="5" t="inlineStr">
        <is>
          <t>Date:</t>
        </is>
      </c>
      <c r="F4" s="6" t="inlineStr"/>
    </row>
    <row r="5">
      <c r="B5" s="4" t="inlineStr">
        <is>
          <t>License #: _______________</t>
        </is>
      </c>
      <c r="E5" s="5" t="inlineStr">
        <is>
          <t>Valid Until:</t>
        </is>
      </c>
      <c r="F5" s="6" t="inlineStr"/>
    </row>
    <row r="6" ht="8" customHeight="1">
      <c r="B6" s="7" t="n"/>
      <c r="C6" s="7" t="n"/>
      <c r="D6" s="7" t="n"/>
      <c r="E6" s="7" t="n"/>
      <c r="F6" s="7" t="n"/>
    </row>
    <row r="7">
      <c r="B7" s="8" t="inlineStr">
        <is>
          <t>CLIENT INFORMATION</t>
        </is>
      </c>
      <c r="E7" s="8" t="inlineStr">
        <is>
          <t>PROJECT INFORMATION</t>
        </is>
      </c>
    </row>
    <row r="8">
      <c r="B8" s="4" t="inlineStr">
        <is>
          <t>Client Name:</t>
        </is>
      </c>
      <c r="C8" s="9" t="n"/>
      <c r="E8" s="4" t="inlineStr">
        <is>
          <t>Project Name:</t>
        </is>
      </c>
      <c r="F8" s="9" t="n"/>
    </row>
    <row r="9">
      <c r="B9" s="4" t="inlineStr">
        <is>
          <t>Company:</t>
        </is>
      </c>
      <c r="C9" s="9" t="n"/>
      <c r="E9" s="4" t="inlineStr">
        <is>
          <t>Project Address:</t>
        </is>
      </c>
      <c r="F9" s="9" t="n"/>
    </row>
    <row r="10">
      <c r="B10" s="4" t="inlineStr">
        <is>
          <t>Address:</t>
        </is>
      </c>
      <c r="C10" s="9" t="n"/>
      <c r="E10" s="4" t="inlineStr">
        <is>
          <t>Scope of Work:</t>
        </is>
      </c>
      <c r="F10" s="9" t="n"/>
    </row>
    <row r="11">
      <c r="B11" s="4" t="inlineStr">
        <is>
          <t>Phone / Email:</t>
        </is>
      </c>
      <c r="C11" s="9" t="n"/>
    </row>
    <row r="13" ht="26" customHeight="1">
      <c r="B13" s="10" t="inlineStr">
        <is>
          <t>LABOR</t>
        </is>
      </c>
      <c r="C13" s="11" t="n"/>
      <c r="D13" s="11" t="n"/>
      <c r="E13" s="11" t="n"/>
      <c r="F13" s="11" t="n"/>
    </row>
    <row r="14">
      <c r="B14" s="12" t="inlineStr">
        <is>
          <t>Description</t>
        </is>
      </c>
      <c r="C14" s="12" t="inlineStr">
        <is>
          <t>Qty</t>
        </is>
      </c>
      <c r="D14" s="12" t="inlineStr">
        <is>
          <t>Unit</t>
        </is>
      </c>
      <c r="E14" s="12" t="inlineStr">
        <is>
          <t>Unit Cost</t>
        </is>
      </c>
      <c r="F14" s="12" t="inlineStr">
        <is>
          <t>Total</t>
        </is>
      </c>
    </row>
    <row r="15">
      <c r="B15" s="13" t="n"/>
      <c r="C15" s="14" t="n"/>
      <c r="D15" s="14" t="n"/>
      <c r="E15" s="15" t="n"/>
      <c r="F15" s="15">
        <f>IF(C15="","",C15*E15)</f>
        <v/>
      </c>
    </row>
    <row r="16">
      <c r="B16" s="16" t="n"/>
      <c r="C16" s="17" t="n"/>
      <c r="D16" s="17" t="n"/>
      <c r="E16" s="18" t="n"/>
      <c r="F16" s="18">
        <f>IF(C16="","",C16*E16)</f>
        <v/>
      </c>
    </row>
    <row r="17">
      <c r="B17" s="13" t="n"/>
      <c r="C17" s="14" t="n"/>
      <c r="D17" s="14" t="n"/>
      <c r="E17" s="15" t="n"/>
      <c r="F17" s="15">
        <f>IF(C17="","",C17*E17)</f>
        <v/>
      </c>
    </row>
    <row r="18">
      <c r="B18" s="16" t="n"/>
      <c r="C18" s="17" t="n"/>
      <c r="D18" s="17" t="n"/>
      <c r="E18" s="18" t="n"/>
      <c r="F18" s="18">
        <f>IF(C18="","",C18*E18)</f>
        <v/>
      </c>
    </row>
    <row r="19">
      <c r="B19" s="13" t="n"/>
      <c r="C19" s="14" t="n"/>
      <c r="D19" s="14" t="n"/>
      <c r="E19" s="15" t="n"/>
      <c r="F19" s="15">
        <f>IF(C19="","",C19*E19)</f>
        <v/>
      </c>
    </row>
    <row r="20">
      <c r="B20" s="16" t="n"/>
      <c r="C20" s="17" t="n"/>
      <c r="D20" s="17" t="n"/>
      <c r="E20" s="18" t="n"/>
      <c r="F20" s="18">
        <f>IF(C20="","",C20*E20)</f>
        <v/>
      </c>
    </row>
    <row r="21">
      <c r="B21" s="13" t="n"/>
      <c r="C21" s="14" t="n"/>
      <c r="D21" s="14" t="n"/>
      <c r="E21" s="15" t="n"/>
      <c r="F21" s="15">
        <f>IF(C21="","",C21*E21)</f>
        <v/>
      </c>
    </row>
    <row r="22">
      <c r="B22" s="16" t="n"/>
      <c r="C22" s="17" t="n"/>
      <c r="D22" s="17" t="n"/>
      <c r="E22" s="18" t="n"/>
      <c r="F22" s="18">
        <f>IF(C22="","",C22*E22)</f>
        <v/>
      </c>
    </row>
    <row r="23">
      <c r="B23" s="13" t="n"/>
      <c r="C23" s="14" t="n"/>
      <c r="D23" s="14" t="n"/>
      <c r="E23" s="15" t="n"/>
      <c r="F23" s="15">
        <f>IF(C23="","",C23*E23)</f>
        <v/>
      </c>
    </row>
    <row r="24">
      <c r="B24" s="16" t="n"/>
      <c r="C24" s="17" t="n"/>
      <c r="D24" s="17" t="n"/>
      <c r="E24" s="18" t="n"/>
      <c r="F24" s="18">
        <f>IF(C24="","",C24*E24)</f>
        <v/>
      </c>
    </row>
    <row r="25">
      <c r="B25" s="5" t="inlineStr">
        <is>
          <t>LABOR Subtotal</t>
        </is>
      </c>
      <c r="F25" s="19">
        <f>SUM(F15:F24)</f>
        <v/>
      </c>
    </row>
    <row r="27" ht="26" customHeight="1">
      <c r="B27" s="10" t="inlineStr">
        <is>
          <t>MATERIALS</t>
        </is>
      </c>
      <c r="C27" s="11" t="n"/>
      <c r="D27" s="11" t="n"/>
      <c r="E27" s="11" t="n"/>
      <c r="F27" s="11" t="n"/>
    </row>
    <row r="28">
      <c r="B28" s="12" t="inlineStr">
        <is>
          <t>Description</t>
        </is>
      </c>
      <c r="C28" s="12" t="inlineStr">
        <is>
          <t>Qty</t>
        </is>
      </c>
      <c r="D28" s="12" t="inlineStr">
        <is>
          <t>Unit</t>
        </is>
      </c>
      <c r="E28" s="12" t="inlineStr">
        <is>
          <t>Unit Cost</t>
        </is>
      </c>
      <c r="F28" s="12" t="inlineStr">
        <is>
          <t>Total</t>
        </is>
      </c>
    </row>
    <row r="29">
      <c r="B29" s="13" t="n"/>
      <c r="C29" s="14" t="n"/>
      <c r="D29" s="14" t="n"/>
      <c r="E29" s="15" t="n"/>
      <c r="F29" s="15">
        <f>IF(C29="","",C29*E29)</f>
        <v/>
      </c>
    </row>
    <row r="30">
      <c r="B30" s="16" t="n"/>
      <c r="C30" s="17" t="n"/>
      <c r="D30" s="17" t="n"/>
      <c r="E30" s="18" t="n"/>
      <c r="F30" s="18">
        <f>IF(C30="","",C30*E30)</f>
        <v/>
      </c>
    </row>
    <row r="31">
      <c r="B31" s="13" t="n"/>
      <c r="C31" s="14" t="n"/>
      <c r="D31" s="14" t="n"/>
      <c r="E31" s="15" t="n"/>
      <c r="F31" s="15">
        <f>IF(C31="","",C31*E31)</f>
        <v/>
      </c>
    </row>
    <row r="32">
      <c r="B32" s="16" t="n"/>
      <c r="C32" s="17" t="n"/>
      <c r="D32" s="17" t="n"/>
      <c r="E32" s="18" t="n"/>
      <c r="F32" s="18">
        <f>IF(C32="","",C32*E32)</f>
        <v/>
      </c>
    </row>
    <row r="33">
      <c r="B33" s="13" t="n"/>
      <c r="C33" s="14" t="n"/>
      <c r="D33" s="14" t="n"/>
      <c r="E33" s="15" t="n"/>
      <c r="F33" s="15">
        <f>IF(C33="","",C33*E33)</f>
        <v/>
      </c>
    </row>
    <row r="34">
      <c r="B34" s="16" t="n"/>
      <c r="C34" s="17" t="n"/>
      <c r="D34" s="17" t="n"/>
      <c r="E34" s="18" t="n"/>
      <c r="F34" s="18">
        <f>IF(C34="","",C34*E34)</f>
        <v/>
      </c>
    </row>
    <row r="35">
      <c r="B35" s="13" t="n"/>
      <c r="C35" s="14" t="n"/>
      <c r="D35" s="14" t="n"/>
      <c r="E35" s="15" t="n"/>
      <c r="F35" s="15">
        <f>IF(C35="","",C35*E35)</f>
        <v/>
      </c>
    </row>
    <row r="36">
      <c r="B36" s="16" t="n"/>
      <c r="C36" s="17" t="n"/>
      <c r="D36" s="17" t="n"/>
      <c r="E36" s="18" t="n"/>
      <c r="F36" s="18">
        <f>IF(C36="","",C36*E36)</f>
        <v/>
      </c>
    </row>
    <row r="37">
      <c r="B37" s="13" t="n"/>
      <c r="C37" s="14" t="n"/>
      <c r="D37" s="14" t="n"/>
      <c r="E37" s="15" t="n"/>
      <c r="F37" s="15">
        <f>IF(C37="","",C37*E37)</f>
        <v/>
      </c>
    </row>
    <row r="38">
      <c r="B38" s="16" t="n"/>
      <c r="C38" s="17" t="n"/>
      <c r="D38" s="17" t="n"/>
      <c r="E38" s="18" t="n"/>
      <c r="F38" s="18">
        <f>IF(C38="","",C38*E38)</f>
        <v/>
      </c>
    </row>
    <row r="39">
      <c r="B39" s="5" t="inlineStr">
        <is>
          <t>MATERIALS Subtotal</t>
        </is>
      </c>
      <c r="F39" s="19">
        <f>SUM(F29:F38)</f>
        <v/>
      </c>
    </row>
    <row r="41" ht="26" customHeight="1">
      <c r="B41" s="10" t="inlineStr">
        <is>
          <t>EQUIPMENT</t>
        </is>
      </c>
      <c r="C41" s="11" t="n"/>
      <c r="D41" s="11" t="n"/>
      <c r="E41" s="11" t="n"/>
      <c r="F41" s="11" t="n"/>
    </row>
    <row r="42">
      <c r="B42" s="12" t="inlineStr">
        <is>
          <t>Description</t>
        </is>
      </c>
      <c r="C42" s="12" t="inlineStr">
        <is>
          <t>Qty</t>
        </is>
      </c>
      <c r="D42" s="12" t="inlineStr">
        <is>
          <t>Unit</t>
        </is>
      </c>
      <c r="E42" s="12" t="inlineStr">
        <is>
          <t>Unit Cost</t>
        </is>
      </c>
      <c r="F42" s="12" t="inlineStr">
        <is>
          <t>Total</t>
        </is>
      </c>
    </row>
    <row r="43">
      <c r="B43" s="13" t="n"/>
      <c r="C43" s="14" t="n"/>
      <c r="D43" s="14" t="n"/>
      <c r="E43" s="15" t="n"/>
      <c r="F43" s="15">
        <f>IF(C43="","",C43*E43)</f>
        <v/>
      </c>
    </row>
    <row r="44">
      <c r="B44" s="16" t="n"/>
      <c r="C44" s="17" t="n"/>
      <c r="D44" s="17" t="n"/>
      <c r="E44" s="18" t="n"/>
      <c r="F44" s="18">
        <f>IF(C44="","",C44*E44)</f>
        <v/>
      </c>
    </row>
    <row r="45">
      <c r="B45" s="13" t="n"/>
      <c r="C45" s="14" t="n"/>
      <c r="D45" s="14" t="n"/>
      <c r="E45" s="15" t="n"/>
      <c r="F45" s="15">
        <f>IF(C45="","",C45*E45)</f>
        <v/>
      </c>
    </row>
    <row r="46">
      <c r="B46" s="16" t="n"/>
      <c r="C46" s="17" t="n"/>
      <c r="D46" s="17" t="n"/>
      <c r="E46" s="18" t="n"/>
      <c r="F46" s="18">
        <f>IF(C46="","",C46*E46)</f>
        <v/>
      </c>
    </row>
    <row r="47">
      <c r="B47" s="13" t="n"/>
      <c r="C47" s="14" t="n"/>
      <c r="D47" s="14" t="n"/>
      <c r="E47" s="15" t="n"/>
      <c r="F47" s="15">
        <f>IF(C47="","",C47*E47)</f>
        <v/>
      </c>
    </row>
    <row r="48">
      <c r="B48" s="16" t="n"/>
      <c r="C48" s="17" t="n"/>
      <c r="D48" s="17" t="n"/>
      <c r="E48" s="18" t="n"/>
      <c r="F48" s="18">
        <f>IF(C48="","",C48*E48)</f>
        <v/>
      </c>
    </row>
    <row r="49">
      <c r="B49" s="13" t="n"/>
      <c r="C49" s="14" t="n"/>
      <c r="D49" s="14" t="n"/>
      <c r="E49" s="15" t="n"/>
      <c r="F49" s="15">
        <f>IF(C49="","",C49*E49)</f>
        <v/>
      </c>
    </row>
    <row r="50">
      <c r="B50" s="16" t="n"/>
      <c r="C50" s="17" t="n"/>
      <c r="D50" s="17" t="n"/>
      <c r="E50" s="18" t="n"/>
      <c r="F50" s="18">
        <f>IF(C50="","",C50*E50)</f>
        <v/>
      </c>
    </row>
    <row r="51">
      <c r="B51" s="13" t="n"/>
      <c r="C51" s="14" t="n"/>
      <c r="D51" s="14" t="n"/>
      <c r="E51" s="15" t="n"/>
      <c r="F51" s="15">
        <f>IF(C51="","",C51*E51)</f>
        <v/>
      </c>
    </row>
    <row r="52">
      <c r="B52" s="16" t="n"/>
      <c r="C52" s="17" t="n"/>
      <c r="D52" s="17" t="n"/>
      <c r="E52" s="18" t="n"/>
      <c r="F52" s="18">
        <f>IF(C52="","",C52*E52)</f>
        <v/>
      </c>
    </row>
    <row r="53">
      <c r="B53" s="5" t="inlineStr">
        <is>
          <t>EQUIPMENT Subtotal</t>
        </is>
      </c>
      <c r="F53" s="19">
        <f>SUM(F43:F52)</f>
        <v/>
      </c>
    </row>
    <row r="55" ht="26" customHeight="1">
      <c r="B55" s="10" t="inlineStr">
        <is>
          <t>OTHER COSTS</t>
        </is>
      </c>
      <c r="C55" s="11" t="n"/>
      <c r="D55" s="11" t="n"/>
      <c r="E55" s="11" t="n"/>
      <c r="F55" s="11" t="n"/>
    </row>
    <row r="56">
      <c r="B56" s="12" t="inlineStr">
        <is>
          <t>Description</t>
        </is>
      </c>
      <c r="C56" s="12" t="inlineStr">
        <is>
          <t>Qty</t>
        </is>
      </c>
      <c r="D56" s="12" t="inlineStr">
        <is>
          <t>Unit</t>
        </is>
      </c>
      <c r="E56" s="12" t="inlineStr">
        <is>
          <t>Unit Cost</t>
        </is>
      </c>
      <c r="F56" s="12" t="inlineStr">
        <is>
          <t>Total</t>
        </is>
      </c>
    </row>
    <row r="57">
      <c r="B57" s="13" t="n"/>
      <c r="C57" s="14" t="n"/>
      <c r="D57" s="14" t="n"/>
      <c r="E57" s="15" t="n"/>
      <c r="F57" s="15">
        <f>IF(C57="","",C57*E57)</f>
        <v/>
      </c>
    </row>
    <row r="58">
      <c r="B58" s="16" t="n"/>
      <c r="C58" s="17" t="n"/>
      <c r="D58" s="17" t="n"/>
      <c r="E58" s="18" t="n"/>
      <c r="F58" s="18">
        <f>IF(C58="","",C58*E58)</f>
        <v/>
      </c>
    </row>
    <row r="59">
      <c r="B59" s="13" t="n"/>
      <c r="C59" s="14" t="n"/>
      <c r="D59" s="14" t="n"/>
      <c r="E59" s="15" t="n"/>
      <c r="F59" s="15">
        <f>IF(C59="","",C59*E59)</f>
        <v/>
      </c>
    </row>
    <row r="60">
      <c r="B60" s="16" t="n"/>
      <c r="C60" s="17" t="n"/>
      <c r="D60" s="17" t="n"/>
      <c r="E60" s="18" t="n"/>
      <c r="F60" s="18">
        <f>IF(C60="","",C60*E60)</f>
        <v/>
      </c>
    </row>
    <row r="61">
      <c r="B61" s="13" t="n"/>
      <c r="C61" s="14" t="n"/>
      <c r="D61" s="14" t="n"/>
      <c r="E61" s="15" t="n"/>
      <c r="F61" s="15">
        <f>IF(C61="","",C61*E61)</f>
        <v/>
      </c>
    </row>
    <row r="62">
      <c r="B62" s="16" t="n"/>
      <c r="C62" s="17" t="n"/>
      <c r="D62" s="17" t="n"/>
      <c r="E62" s="18" t="n"/>
      <c r="F62" s="18">
        <f>IF(C62="","",C62*E62)</f>
        <v/>
      </c>
    </row>
    <row r="63">
      <c r="B63" s="13" t="n"/>
      <c r="C63" s="14" t="n"/>
      <c r="D63" s="14" t="n"/>
      <c r="E63" s="15" t="n"/>
      <c r="F63" s="15">
        <f>IF(C63="","",C63*E63)</f>
        <v/>
      </c>
    </row>
    <row r="64">
      <c r="B64" s="16" t="n"/>
      <c r="C64" s="17" t="n"/>
      <c r="D64" s="17" t="n"/>
      <c r="E64" s="18" t="n"/>
      <c r="F64" s="18">
        <f>IF(C64="","",C64*E64)</f>
        <v/>
      </c>
    </row>
    <row r="65">
      <c r="B65" s="13" t="n"/>
      <c r="C65" s="14" t="n"/>
      <c r="D65" s="14" t="n"/>
      <c r="E65" s="15" t="n"/>
      <c r="F65" s="15">
        <f>IF(C65="","",C65*E65)</f>
        <v/>
      </c>
    </row>
    <row r="66">
      <c r="B66" s="16" t="n"/>
      <c r="C66" s="17" t="n"/>
      <c r="D66" s="17" t="n"/>
      <c r="E66" s="18" t="n"/>
      <c r="F66" s="18">
        <f>IF(C66="","",C66*E66)</f>
        <v/>
      </c>
    </row>
    <row r="67">
      <c r="B67" s="5" t="inlineStr">
        <is>
          <t>OTHER COSTS Subtotal</t>
        </is>
      </c>
      <c r="F67" s="19">
        <f>SUM(F57:F66)</f>
        <v/>
      </c>
    </row>
    <row r="69">
      <c r="B69" s="20" t="inlineStr">
        <is>
          <t>ESTIMATE SUMMARY</t>
        </is>
      </c>
      <c r="C69" s="7" t="n"/>
      <c r="D69" s="7" t="n"/>
      <c r="E69" s="7" t="n"/>
      <c r="F69" s="7" t="n"/>
    </row>
    <row r="70">
      <c r="D70" s="5" t="inlineStr">
        <is>
          <t>Direct Costs Subtotal</t>
        </is>
      </c>
      <c r="F70" s="21">
        <f>F25+F39+F53+F67</f>
        <v/>
      </c>
    </row>
    <row r="71">
      <c r="D71" s="5" t="inlineStr">
        <is>
          <t>Overhead</t>
        </is>
      </c>
      <c r="F71" s="22" t="n">
        <v>0.2</v>
      </c>
    </row>
    <row r="72">
      <c r="D72" s="5" t="inlineStr">
        <is>
          <t>Overhead Amount</t>
        </is>
      </c>
      <c r="F72" s="23">
        <f>F70*F71</f>
        <v/>
      </c>
    </row>
    <row r="73">
      <c r="D73" s="5" t="inlineStr">
        <is>
          <t>Contingency</t>
        </is>
      </c>
      <c r="F73" s="22" t="n">
        <v>0.1</v>
      </c>
    </row>
    <row r="74">
      <c r="D74" s="5" t="inlineStr">
        <is>
          <t>Contingency Amount</t>
        </is>
      </c>
      <c r="F74" s="23">
        <f>F70*F73</f>
        <v/>
      </c>
    </row>
    <row r="75">
      <c r="D75" s="5" t="inlineStr">
        <is>
          <t>Tax Rate</t>
        </is>
      </c>
      <c r="F75" s="22" t="n">
        <v>0</v>
      </c>
    </row>
    <row r="76">
      <c r="D76" s="5" t="inlineStr">
        <is>
          <t>Tax Amount</t>
        </is>
      </c>
      <c r="F76" s="23">
        <f>(F70+F72+F74)*F75</f>
        <v/>
      </c>
    </row>
    <row r="78" ht="32" customHeight="1">
      <c r="D78" s="24" t="inlineStr">
        <is>
          <t>GRAND TOTAL</t>
        </is>
      </c>
      <c r="F78" s="25">
        <f>F70+F72+F74+F76</f>
        <v/>
      </c>
    </row>
    <row r="80">
      <c r="B80" s="26" t="inlineStr">
        <is>
          <t>PROJECT TIMELINE</t>
        </is>
      </c>
      <c r="C80" s="7" t="n"/>
      <c r="D80" s="7" t="n"/>
      <c r="E80" s="7" t="n"/>
      <c r="F80" s="7" t="n"/>
    </row>
    <row r="81">
      <c r="B81" s="27" t="inlineStr">
        <is>
          <t>Phase</t>
        </is>
      </c>
      <c r="C81" s="27" t="inlineStr">
        <is>
          <t>Description</t>
        </is>
      </c>
      <c r="D81" s="27" t="inlineStr"/>
      <c r="E81" s="27" t="inlineStr">
        <is>
          <t>Start</t>
        </is>
      </c>
      <c r="F81" s="27" t="inlineStr">
        <is>
          <t>End</t>
        </is>
      </c>
    </row>
    <row r="82">
      <c r="B82" s="16" t="n"/>
      <c r="C82" s="16" t="n"/>
      <c r="D82" s="16" t="n"/>
      <c r="E82" s="28" t="n"/>
      <c r="F82" s="28" t="n"/>
    </row>
    <row r="83">
      <c r="B83" s="13" t="n"/>
      <c r="C83" s="13" t="n"/>
      <c r="D83" s="13" t="n"/>
      <c r="E83" s="29" t="n"/>
      <c r="F83" s="29" t="n"/>
    </row>
    <row r="84">
      <c r="B84" s="16" t="n"/>
      <c r="C84" s="16" t="n"/>
      <c r="D84" s="16" t="n"/>
      <c r="E84" s="28" t="n"/>
      <c r="F84" s="28" t="n"/>
    </row>
    <row r="85">
      <c r="B85" s="13" t="n"/>
      <c r="C85" s="13" t="n"/>
      <c r="D85" s="13" t="n"/>
      <c r="E85" s="29" t="n"/>
      <c r="F85" s="29" t="n"/>
    </row>
    <row r="86">
      <c r="B86" s="16" t="n"/>
      <c r="C86" s="16" t="n"/>
      <c r="D86" s="16" t="n"/>
      <c r="E86" s="28" t="n"/>
      <c r="F86" s="28" t="n"/>
    </row>
    <row r="88">
      <c r="B88" s="26" t="inlineStr">
        <is>
          <t>TERMS &amp; CONDITIONS</t>
        </is>
      </c>
      <c r="C88" s="7" t="n"/>
      <c r="D88" s="7" t="n"/>
      <c r="E88" s="7" t="n"/>
      <c r="F88" s="7" t="n"/>
    </row>
    <row r="89">
      <c r="B89" s="30" t="inlineStr">
        <is>
          <t>1. This estimate is valid for 30 days from the date issued.</t>
        </is>
      </c>
    </row>
    <row r="90">
      <c r="B90" s="30" t="inlineStr">
        <is>
          <t>2. A 50% deposit is required before work begins.</t>
        </is>
      </c>
    </row>
    <row r="91">
      <c r="B91" s="30" t="inlineStr">
        <is>
          <t>3. Final payment is due upon completion of work.</t>
        </is>
      </c>
    </row>
    <row r="92">
      <c r="B92" s="30" t="inlineStr">
        <is>
          <t>4. Any changes to the scope of work may result in additional charges.</t>
        </is>
      </c>
    </row>
    <row r="93">
      <c r="B93" s="30" t="inlineStr">
        <is>
          <t>5. All work is guaranteed for 1 year from completion date.</t>
        </is>
      </c>
    </row>
    <row r="95">
      <c r="B95" s="31" t="inlineStr">
        <is>
          <t>Contractor Signature:</t>
        </is>
      </c>
      <c r="E95" s="31" t="inlineStr">
        <is>
          <t>Client Signature:</t>
        </is>
      </c>
    </row>
    <row r="96" ht="30" customHeight="1">
      <c r="B96" s="32" t="n"/>
      <c r="E96" s="32" t="n"/>
    </row>
    <row r="97">
      <c r="B97" s="4" t="inlineStr">
        <is>
          <t>Date: _______________</t>
        </is>
      </c>
      <c r="E97" s="4" t="inlineStr">
        <is>
          <t>Date: _______________</t>
        </is>
      </c>
    </row>
    <row r="98" ht="6" customHeight="1">
      <c r="A98" s="1" t="n"/>
      <c r="B98" s="1" t="n"/>
      <c r="C98" s="1" t="n"/>
      <c r="D98" s="1" t="n"/>
      <c r="E98" s="1" t="n"/>
      <c r="F98" s="1" t="n"/>
      <c r="G98" s="1" t="n"/>
    </row>
  </sheetData>
  <mergeCells count="35">
    <mergeCell ref="B91:F91"/>
    <mergeCell ref="B7:C7"/>
    <mergeCell ref="B90:F90"/>
    <mergeCell ref="B93:F93"/>
    <mergeCell ref="B96:C96"/>
    <mergeCell ref="B27:F27"/>
    <mergeCell ref="D76:E76"/>
    <mergeCell ref="B25:E25"/>
    <mergeCell ref="D70:E70"/>
    <mergeCell ref="B13:F13"/>
    <mergeCell ref="D75:E75"/>
    <mergeCell ref="B88:F88"/>
    <mergeCell ref="B5:D5"/>
    <mergeCell ref="B69:F69"/>
    <mergeCell ref="D72:E72"/>
    <mergeCell ref="D78:E78"/>
    <mergeCell ref="E2:F2"/>
    <mergeCell ref="B4:D4"/>
    <mergeCell ref="E95:F95"/>
    <mergeCell ref="B39:E39"/>
    <mergeCell ref="D71:E71"/>
    <mergeCell ref="B92:F92"/>
    <mergeCell ref="B67:E67"/>
    <mergeCell ref="B3:D3"/>
    <mergeCell ref="D74:E74"/>
    <mergeCell ref="B55:F55"/>
    <mergeCell ref="B53:E53"/>
    <mergeCell ref="E7:F7"/>
    <mergeCell ref="D73:E73"/>
    <mergeCell ref="B89:F89"/>
    <mergeCell ref="B95:C95"/>
    <mergeCell ref="B80:F80"/>
    <mergeCell ref="E96:F96"/>
    <mergeCell ref="B41:F41"/>
    <mergeCell ref="B2:D2"/>
  </mergeCells>
  <pageMargins left="0.5" right="0.5" top="1" bottom="1" header="0.5" footer="0.5"/>
  <pageSetup orientation="landscape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5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3" customWidth="1" min="7" max="7"/>
  </cols>
  <sheetData>
    <row r="1" ht="6" customHeight="1">
      <c r="B1" s="1" t="n"/>
    </row>
    <row r="2" ht="30" customHeight="1">
      <c r="B2" s="33" t="inlineStr">
        <is>
          <t>ESTIMATE vs ACTUAL COMPARISON</t>
        </is>
      </c>
    </row>
    <row r="3">
      <c r="B3" s="4" t="inlineStr">
        <is>
          <t>Project:</t>
        </is>
      </c>
      <c r="C3" s="9" t="n"/>
      <c r="D3" s="4" t="inlineStr">
        <is>
          <t>Estimate #:</t>
        </is>
      </c>
      <c r="E3" s="9" t="n"/>
    </row>
    <row r="5" ht="28" customHeight="1">
      <c r="B5" s="27" t="inlineStr">
        <is>
          <t>Category / Item</t>
        </is>
      </c>
      <c r="C5" s="27" t="inlineStr">
        <is>
          <t>Estimated</t>
        </is>
      </c>
      <c r="D5" s="27" t="inlineStr">
        <is>
          <t>Actual</t>
        </is>
      </c>
      <c r="E5" s="27" t="inlineStr">
        <is>
          <t>Variance ($)</t>
        </is>
      </c>
      <c r="F5" s="27" t="inlineStr">
        <is>
          <t>Variance (%)</t>
        </is>
      </c>
    </row>
    <row r="6">
      <c r="B6" s="34" t="inlineStr">
        <is>
          <t>LABOR</t>
        </is>
      </c>
      <c r="C6" s="35" t="n"/>
      <c r="D6" s="35" t="n"/>
      <c r="E6" s="35" t="n"/>
      <c r="F6" s="35" t="n"/>
    </row>
    <row r="7">
      <c r="B7" s="13" t="n"/>
      <c r="C7" s="36" t="n"/>
      <c r="D7" s="36" t="n"/>
      <c r="E7" s="36">
        <f>IF(C7="","",C7-D7)</f>
        <v/>
      </c>
      <c r="F7" s="37">
        <f>IF(C7="","",IF(C7=0,"",(C7-D7)/C7))</f>
        <v/>
      </c>
    </row>
    <row r="8">
      <c r="B8" s="16" t="n"/>
      <c r="C8" s="38" t="n"/>
      <c r="D8" s="38" t="n"/>
      <c r="E8" s="38">
        <f>IF(C8="","",C8-D8)</f>
        <v/>
      </c>
      <c r="F8" s="39">
        <f>IF(C8="","",IF(C8=0,"",(C8-D8)/C8))</f>
        <v/>
      </c>
    </row>
    <row r="9">
      <c r="B9" s="13" t="n"/>
      <c r="C9" s="36" t="n"/>
      <c r="D9" s="36" t="n"/>
      <c r="E9" s="36">
        <f>IF(C9="","",C9-D9)</f>
        <v/>
      </c>
      <c r="F9" s="37">
        <f>IF(C9="","",IF(C9=0,"",(C9-D9)/C9))</f>
        <v/>
      </c>
    </row>
    <row r="10">
      <c r="B10" s="16" t="n"/>
      <c r="C10" s="38" t="n"/>
      <c r="D10" s="38" t="n"/>
      <c r="E10" s="38">
        <f>IF(C10="","",C10-D10)</f>
        <v/>
      </c>
      <c r="F10" s="39">
        <f>IF(C10="","",IF(C10=0,"",(C10-D10)/C10))</f>
        <v/>
      </c>
    </row>
    <row r="11">
      <c r="B11" s="13" t="n"/>
      <c r="C11" s="36" t="n"/>
      <c r="D11" s="36" t="n"/>
      <c r="E11" s="36">
        <f>IF(C11="","",C11-D11)</f>
        <v/>
      </c>
      <c r="F11" s="37">
        <f>IF(C11="","",IF(C11=0,"",(C11-D11)/C11))</f>
        <v/>
      </c>
    </row>
    <row r="12">
      <c r="B12" s="16" t="n"/>
      <c r="C12" s="38" t="n"/>
      <c r="D12" s="38" t="n"/>
      <c r="E12" s="38">
        <f>IF(C12="","",C12-D12)</f>
        <v/>
      </c>
      <c r="F12" s="39">
        <f>IF(C12="","",IF(C12=0,"",(C12-D12)/C12))</f>
        <v/>
      </c>
    </row>
    <row r="13">
      <c r="B13" s="13" t="n"/>
      <c r="C13" s="36" t="n"/>
      <c r="D13" s="36" t="n"/>
      <c r="E13" s="36">
        <f>IF(C13="","",C13-D13)</f>
        <v/>
      </c>
      <c r="F13" s="37">
        <f>IF(C13="","",IF(C13=0,"",(C13-D13)/C13))</f>
        <v/>
      </c>
    </row>
    <row r="14">
      <c r="B14" s="16" t="n"/>
      <c r="C14" s="38" t="n"/>
      <c r="D14" s="38" t="n"/>
      <c r="E14" s="38">
        <f>IF(C14="","",C14-D14)</f>
        <v/>
      </c>
      <c r="F14" s="39">
        <f>IF(C14="","",IF(C14=0,"",(C14-D14)/C14))</f>
        <v/>
      </c>
    </row>
    <row r="15">
      <c r="B15" s="13" t="n"/>
      <c r="C15" s="36" t="n"/>
      <c r="D15" s="36" t="n"/>
      <c r="E15" s="36">
        <f>IF(C15="","",C15-D15)</f>
        <v/>
      </c>
      <c r="F15" s="37">
        <f>IF(C15="","",IF(C15=0,"",(C15-D15)/C15))</f>
        <v/>
      </c>
    </row>
    <row r="16">
      <c r="B16" s="16" t="n"/>
      <c r="C16" s="38" t="n"/>
      <c r="D16" s="38" t="n"/>
      <c r="E16" s="38">
        <f>IF(C16="","",C16-D16)</f>
        <v/>
      </c>
      <c r="F16" s="39">
        <f>IF(C16="","",IF(C16=0,"",(C16-D16)/C16))</f>
        <v/>
      </c>
    </row>
    <row r="17">
      <c r="B17" s="40" t="inlineStr">
        <is>
          <t>LABOR Subtotal</t>
        </is>
      </c>
      <c r="C17" s="41">
        <f>SUM(C7:C16)</f>
        <v/>
      </c>
      <c r="D17" s="41">
        <f>SUM(D7:D16)</f>
        <v/>
      </c>
      <c r="E17" s="41">
        <f>C17-D17</f>
        <v/>
      </c>
      <c r="F17" s="42">
        <f>IF(C17=0,"",C17-D17)/C17</f>
        <v/>
      </c>
    </row>
    <row r="19">
      <c r="B19" s="34" t="inlineStr">
        <is>
          <t>MATERIALS</t>
        </is>
      </c>
      <c r="C19" s="35" t="n"/>
      <c r="D19" s="35" t="n"/>
      <c r="E19" s="35" t="n"/>
      <c r="F19" s="35" t="n"/>
    </row>
    <row r="20">
      <c r="B20" s="13" t="n"/>
      <c r="C20" s="36" t="n"/>
      <c r="D20" s="36" t="n"/>
      <c r="E20" s="36">
        <f>IF(C20="","",C20-D20)</f>
        <v/>
      </c>
      <c r="F20" s="37">
        <f>IF(C20="","",IF(C20=0,"",(C20-D20)/C20))</f>
        <v/>
      </c>
    </row>
    <row r="21">
      <c r="B21" s="16" t="n"/>
      <c r="C21" s="38" t="n"/>
      <c r="D21" s="38" t="n"/>
      <c r="E21" s="38">
        <f>IF(C21="","",C21-D21)</f>
        <v/>
      </c>
      <c r="F21" s="39">
        <f>IF(C21="","",IF(C21=0,"",(C21-D21)/C21))</f>
        <v/>
      </c>
    </row>
    <row r="22">
      <c r="B22" s="13" t="n"/>
      <c r="C22" s="36" t="n"/>
      <c r="D22" s="36" t="n"/>
      <c r="E22" s="36">
        <f>IF(C22="","",C22-D22)</f>
        <v/>
      </c>
      <c r="F22" s="37">
        <f>IF(C22="","",IF(C22=0,"",(C22-D22)/C22))</f>
        <v/>
      </c>
    </row>
    <row r="23">
      <c r="B23" s="16" t="n"/>
      <c r="C23" s="38" t="n"/>
      <c r="D23" s="38" t="n"/>
      <c r="E23" s="38">
        <f>IF(C23="","",C23-D23)</f>
        <v/>
      </c>
      <c r="F23" s="39">
        <f>IF(C23="","",IF(C23=0,"",(C23-D23)/C23))</f>
        <v/>
      </c>
    </row>
    <row r="24">
      <c r="B24" s="13" t="n"/>
      <c r="C24" s="36" t="n"/>
      <c r="D24" s="36" t="n"/>
      <c r="E24" s="36">
        <f>IF(C24="","",C24-D24)</f>
        <v/>
      </c>
      <c r="F24" s="37">
        <f>IF(C24="","",IF(C24=0,"",(C24-D24)/C24))</f>
        <v/>
      </c>
    </row>
    <row r="25">
      <c r="B25" s="16" t="n"/>
      <c r="C25" s="38" t="n"/>
      <c r="D25" s="38" t="n"/>
      <c r="E25" s="38">
        <f>IF(C25="","",C25-D25)</f>
        <v/>
      </c>
      <c r="F25" s="39">
        <f>IF(C25="","",IF(C25=0,"",(C25-D25)/C25))</f>
        <v/>
      </c>
    </row>
    <row r="26">
      <c r="B26" s="13" t="n"/>
      <c r="C26" s="36" t="n"/>
      <c r="D26" s="36" t="n"/>
      <c r="E26" s="36">
        <f>IF(C26="","",C26-D26)</f>
        <v/>
      </c>
      <c r="F26" s="37">
        <f>IF(C26="","",IF(C26=0,"",(C26-D26)/C26))</f>
        <v/>
      </c>
    </row>
    <row r="27">
      <c r="B27" s="16" t="n"/>
      <c r="C27" s="38" t="n"/>
      <c r="D27" s="38" t="n"/>
      <c r="E27" s="38">
        <f>IF(C27="","",C27-D27)</f>
        <v/>
      </c>
      <c r="F27" s="39">
        <f>IF(C27="","",IF(C27=0,"",(C27-D27)/C27))</f>
        <v/>
      </c>
    </row>
    <row r="28">
      <c r="B28" s="13" t="n"/>
      <c r="C28" s="36" t="n"/>
      <c r="D28" s="36" t="n"/>
      <c r="E28" s="36">
        <f>IF(C28="","",C28-D28)</f>
        <v/>
      </c>
      <c r="F28" s="37">
        <f>IF(C28="","",IF(C28=0,"",(C28-D28)/C28))</f>
        <v/>
      </c>
    </row>
    <row r="29">
      <c r="B29" s="16" t="n"/>
      <c r="C29" s="38" t="n"/>
      <c r="D29" s="38" t="n"/>
      <c r="E29" s="38">
        <f>IF(C29="","",C29-D29)</f>
        <v/>
      </c>
      <c r="F29" s="39">
        <f>IF(C29="","",IF(C29=0,"",(C29-D29)/C29))</f>
        <v/>
      </c>
    </row>
    <row r="30">
      <c r="B30" s="40" t="inlineStr">
        <is>
          <t>MATERIALS Subtotal</t>
        </is>
      </c>
      <c r="C30" s="41">
        <f>SUM(C20:C29)</f>
        <v/>
      </c>
      <c r="D30" s="41">
        <f>SUM(D20:D29)</f>
        <v/>
      </c>
      <c r="E30" s="41">
        <f>C30-D30</f>
        <v/>
      </c>
      <c r="F30" s="42">
        <f>IF(C30=0,"",C30-D30)/C30</f>
        <v/>
      </c>
    </row>
    <row r="32">
      <c r="B32" s="34" t="inlineStr">
        <is>
          <t>EQUIPMENT</t>
        </is>
      </c>
      <c r="C32" s="35" t="n"/>
      <c r="D32" s="35" t="n"/>
      <c r="E32" s="35" t="n"/>
      <c r="F32" s="35" t="n"/>
    </row>
    <row r="33">
      <c r="B33" s="13" t="n"/>
      <c r="C33" s="36" t="n"/>
      <c r="D33" s="36" t="n"/>
      <c r="E33" s="36">
        <f>IF(C33="","",C33-D33)</f>
        <v/>
      </c>
      <c r="F33" s="37">
        <f>IF(C33="","",IF(C33=0,"",(C33-D33)/C33))</f>
        <v/>
      </c>
    </row>
    <row r="34">
      <c r="B34" s="16" t="n"/>
      <c r="C34" s="38" t="n"/>
      <c r="D34" s="38" t="n"/>
      <c r="E34" s="38">
        <f>IF(C34="","",C34-D34)</f>
        <v/>
      </c>
      <c r="F34" s="39">
        <f>IF(C34="","",IF(C34=0,"",(C34-D34)/C34))</f>
        <v/>
      </c>
    </row>
    <row r="35">
      <c r="B35" s="13" t="n"/>
      <c r="C35" s="36" t="n"/>
      <c r="D35" s="36" t="n"/>
      <c r="E35" s="36">
        <f>IF(C35="","",C35-D35)</f>
        <v/>
      </c>
      <c r="F35" s="37">
        <f>IF(C35="","",IF(C35=0,"",(C35-D35)/C35))</f>
        <v/>
      </c>
    </row>
    <row r="36">
      <c r="B36" s="16" t="n"/>
      <c r="C36" s="38" t="n"/>
      <c r="D36" s="38" t="n"/>
      <c r="E36" s="38">
        <f>IF(C36="","",C36-D36)</f>
        <v/>
      </c>
      <c r="F36" s="39">
        <f>IF(C36="","",IF(C36=0,"",(C36-D36)/C36))</f>
        <v/>
      </c>
    </row>
    <row r="37">
      <c r="B37" s="13" t="n"/>
      <c r="C37" s="36" t="n"/>
      <c r="D37" s="36" t="n"/>
      <c r="E37" s="36">
        <f>IF(C37="","",C37-D37)</f>
        <v/>
      </c>
      <c r="F37" s="37">
        <f>IF(C37="","",IF(C37=0,"",(C37-D37)/C37))</f>
        <v/>
      </c>
    </row>
    <row r="38">
      <c r="B38" s="16" t="n"/>
      <c r="C38" s="38" t="n"/>
      <c r="D38" s="38" t="n"/>
      <c r="E38" s="38">
        <f>IF(C38="","",C38-D38)</f>
        <v/>
      </c>
      <c r="F38" s="39">
        <f>IF(C38="","",IF(C38=0,"",(C38-D38)/C38))</f>
        <v/>
      </c>
    </row>
    <row r="39">
      <c r="B39" s="13" t="n"/>
      <c r="C39" s="36" t="n"/>
      <c r="D39" s="36" t="n"/>
      <c r="E39" s="36">
        <f>IF(C39="","",C39-D39)</f>
        <v/>
      </c>
      <c r="F39" s="37">
        <f>IF(C39="","",IF(C39=0,"",(C39-D39)/C39))</f>
        <v/>
      </c>
    </row>
    <row r="40">
      <c r="B40" s="16" t="n"/>
      <c r="C40" s="38" t="n"/>
      <c r="D40" s="38" t="n"/>
      <c r="E40" s="38">
        <f>IF(C40="","",C40-D40)</f>
        <v/>
      </c>
      <c r="F40" s="39">
        <f>IF(C40="","",IF(C40=0,"",(C40-D40)/C40))</f>
        <v/>
      </c>
    </row>
    <row r="41">
      <c r="B41" s="13" t="n"/>
      <c r="C41" s="36" t="n"/>
      <c r="D41" s="36" t="n"/>
      <c r="E41" s="36">
        <f>IF(C41="","",C41-D41)</f>
        <v/>
      </c>
      <c r="F41" s="37">
        <f>IF(C41="","",IF(C41=0,"",(C41-D41)/C41))</f>
        <v/>
      </c>
    </row>
    <row r="42">
      <c r="B42" s="16" t="n"/>
      <c r="C42" s="38" t="n"/>
      <c r="D42" s="38" t="n"/>
      <c r="E42" s="38">
        <f>IF(C42="","",C42-D42)</f>
        <v/>
      </c>
      <c r="F42" s="39">
        <f>IF(C42="","",IF(C42=0,"",(C42-D42)/C42))</f>
        <v/>
      </c>
    </row>
    <row r="43">
      <c r="B43" s="40" t="inlineStr">
        <is>
          <t>EQUIPMENT Subtotal</t>
        </is>
      </c>
      <c r="C43" s="41">
        <f>SUM(C33:C42)</f>
        <v/>
      </c>
      <c r="D43" s="41">
        <f>SUM(D33:D42)</f>
        <v/>
      </c>
      <c r="E43" s="41">
        <f>C43-D43</f>
        <v/>
      </c>
      <c r="F43" s="42">
        <f>IF(C43=0,"",C43-D43)/C43</f>
        <v/>
      </c>
    </row>
    <row r="45">
      <c r="B45" s="34" t="inlineStr">
        <is>
          <t>OTHER COSTS</t>
        </is>
      </c>
      <c r="C45" s="35" t="n"/>
      <c r="D45" s="35" t="n"/>
      <c r="E45" s="35" t="n"/>
      <c r="F45" s="35" t="n"/>
    </row>
    <row r="46">
      <c r="B46" s="13" t="n"/>
      <c r="C46" s="36" t="n"/>
      <c r="D46" s="36" t="n"/>
      <c r="E46" s="36">
        <f>IF(C46="","",C46-D46)</f>
        <v/>
      </c>
      <c r="F46" s="37">
        <f>IF(C46="","",IF(C46=0,"",(C46-D46)/C46))</f>
        <v/>
      </c>
    </row>
    <row r="47">
      <c r="B47" s="16" t="n"/>
      <c r="C47" s="38" t="n"/>
      <c r="D47" s="38" t="n"/>
      <c r="E47" s="38">
        <f>IF(C47="","",C47-D47)</f>
        <v/>
      </c>
      <c r="F47" s="39">
        <f>IF(C47="","",IF(C47=0,"",(C47-D47)/C47))</f>
        <v/>
      </c>
    </row>
    <row r="48">
      <c r="B48" s="13" t="n"/>
      <c r="C48" s="36" t="n"/>
      <c r="D48" s="36" t="n"/>
      <c r="E48" s="36">
        <f>IF(C48="","",C48-D48)</f>
        <v/>
      </c>
      <c r="F48" s="37">
        <f>IF(C48="","",IF(C48=0,"",(C48-D48)/C48))</f>
        <v/>
      </c>
    </row>
    <row r="49">
      <c r="B49" s="16" t="n"/>
      <c r="C49" s="38" t="n"/>
      <c r="D49" s="38" t="n"/>
      <c r="E49" s="38">
        <f>IF(C49="","",C49-D49)</f>
        <v/>
      </c>
      <c r="F49" s="39">
        <f>IF(C49="","",IF(C49=0,"",(C49-D49)/C49))</f>
        <v/>
      </c>
    </row>
    <row r="50">
      <c r="B50" s="13" t="n"/>
      <c r="C50" s="36" t="n"/>
      <c r="D50" s="36" t="n"/>
      <c r="E50" s="36">
        <f>IF(C50="","",C50-D50)</f>
        <v/>
      </c>
      <c r="F50" s="37">
        <f>IF(C50="","",IF(C50=0,"",(C50-D50)/C50))</f>
        <v/>
      </c>
    </row>
    <row r="51">
      <c r="B51" s="16" t="n"/>
      <c r="C51" s="38" t="n"/>
      <c r="D51" s="38" t="n"/>
      <c r="E51" s="38">
        <f>IF(C51="","",C51-D51)</f>
        <v/>
      </c>
      <c r="F51" s="39">
        <f>IF(C51="","",IF(C51=0,"",(C51-D51)/C51))</f>
        <v/>
      </c>
    </row>
    <row r="52">
      <c r="B52" s="13" t="n"/>
      <c r="C52" s="36" t="n"/>
      <c r="D52" s="36" t="n"/>
      <c r="E52" s="36">
        <f>IF(C52="","",C52-D52)</f>
        <v/>
      </c>
      <c r="F52" s="37">
        <f>IF(C52="","",IF(C52=0,"",(C52-D52)/C52))</f>
        <v/>
      </c>
    </row>
    <row r="53">
      <c r="B53" s="16" t="n"/>
      <c r="C53" s="38" t="n"/>
      <c r="D53" s="38" t="n"/>
      <c r="E53" s="38">
        <f>IF(C53="","",C53-D53)</f>
        <v/>
      </c>
      <c r="F53" s="39">
        <f>IF(C53="","",IF(C53=0,"",(C53-D53)/C53))</f>
        <v/>
      </c>
    </row>
    <row r="54">
      <c r="B54" s="13" t="n"/>
      <c r="C54" s="36" t="n"/>
      <c r="D54" s="36" t="n"/>
      <c r="E54" s="36">
        <f>IF(C54="","",C54-D54)</f>
        <v/>
      </c>
      <c r="F54" s="37">
        <f>IF(C54="","",IF(C54=0,"",(C54-D54)/C54))</f>
        <v/>
      </c>
    </row>
    <row r="55">
      <c r="B55" s="16" t="n"/>
      <c r="C55" s="38" t="n"/>
      <c r="D55" s="38" t="n"/>
      <c r="E55" s="38">
        <f>IF(C55="","",C55-D55)</f>
        <v/>
      </c>
      <c r="F55" s="39">
        <f>IF(C55="","",IF(C55=0,"",(C55-D55)/C55))</f>
        <v/>
      </c>
    </row>
    <row r="56">
      <c r="B56" s="40" t="inlineStr">
        <is>
          <t>OTHER COSTS Subtotal</t>
        </is>
      </c>
      <c r="C56" s="41">
        <f>SUM(C46:C55)</f>
        <v/>
      </c>
      <c r="D56" s="41">
        <f>SUM(D46:D55)</f>
        <v/>
      </c>
      <c r="E56" s="41">
        <f>C56-D56</f>
        <v/>
      </c>
      <c r="F56" s="42">
        <f>IF(C56=0,"",C56-D56)/C56</f>
        <v/>
      </c>
    </row>
    <row r="58" ht="30" customHeight="1">
      <c r="B58" s="43" t="inlineStr">
        <is>
          <t>GRAND TOTAL</t>
        </is>
      </c>
      <c r="C58" s="44">
        <f>C17+C30+C43+C56</f>
        <v/>
      </c>
      <c r="D58" s="44">
        <f>D17+D30+D43+D56</f>
        <v/>
      </c>
      <c r="E58" s="44">
        <f>C58-D58</f>
        <v/>
      </c>
      <c r="F58" s="45">
        <f>IF(C58=0,"",C58-D58)/C58</f>
        <v/>
      </c>
    </row>
  </sheetData>
  <mergeCells count="7">
    <mergeCell ref="B6:F6"/>
    <mergeCell ref="B58"/>
    <mergeCell ref="B2:F2"/>
    <mergeCell ref="B19:F19"/>
    <mergeCell ref="B45:F45"/>
    <mergeCell ref="B1:F1"/>
    <mergeCell ref="B32:F32"/>
  </mergeCells>
  <conditionalFormatting sqref="E6:E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2026-03-08T09:03:36Z</dcterms:created>
  <dcterms:modified xmlns:dcterms="http://purl.org/dc/terms/" xmlns:xsi="http://www.w3.org/2001/XMLSchema-instance" xsi:type="dcterms:W3CDTF">2026-03-08T09:03:36Z</dcterms:modified>
</cp:coreProperties>
</file>