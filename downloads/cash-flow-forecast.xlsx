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ash 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4">
    <font>
      <name val="Calibri"/>
      <family val="2"/>
      <color theme="1"/>
      <sz val="11"/>
      <scheme val="minor"/>
    </font>
    <font>
      <name val="Calibri"/>
      <b val="1"/>
      <color rgb="00F97316"/>
      <sz val="22"/>
    </font>
    <font>
      <name val="Calibri"/>
      <color rgb="00666666"/>
      <sz val="9"/>
    </font>
    <font>
      <name val="Calibri"/>
      <b val="1"/>
      <color rgb="00FFFFFF"/>
      <sz val="11"/>
    </font>
    <font>
      <name val="Calibri"/>
      <b val="1"/>
      <color rgb="00F97316"/>
      <sz val="11"/>
    </font>
    <font>
      <name val="Calibri"/>
      <b val="1"/>
    </font>
    <font>
      <name val="Calibri"/>
      <b val="1"/>
      <color rgb="0022C55E"/>
      <sz val="12"/>
    </font>
    <font>
      <name val="Calibri"/>
      <color rgb="00333333"/>
      <sz val="11"/>
    </font>
    <font>
      <name val="Calibri"/>
      <b val="1"/>
      <color rgb="0022C55E"/>
    </font>
    <font>
      <name val="Calibri"/>
      <b val="1"/>
      <color rgb="00EF4444"/>
      <sz val="12"/>
    </font>
    <font>
      <name val="Calibri"/>
      <b val="1"/>
      <color rgb="00EF4444"/>
    </font>
    <font>
      <name val="Calibri"/>
      <b val="1"/>
      <color rgb="00F97316"/>
      <sz val="13"/>
    </font>
    <font>
      <name val="Calibri"/>
      <b val="1"/>
      <color rgb="00F97316"/>
      <sz val="12"/>
    </font>
    <font>
      <name val="Calibri"/>
      <b val="1"/>
      <color rgb="00F97316"/>
      <sz val="20"/>
    </font>
  </fonts>
  <fills count="6">
    <fill>
      <patternFill/>
    </fill>
    <fill>
      <patternFill patternType="gray125"/>
    </fill>
    <fill>
      <patternFill patternType="solid">
        <fgColor rgb="00F97316"/>
        <bgColor rgb="00F97316"/>
      </patternFill>
    </fill>
    <fill>
      <patternFill patternType="solid">
        <fgColor rgb="00F0FDF4"/>
        <bgColor rgb="00F0FDF4"/>
      </patternFill>
    </fill>
    <fill>
      <patternFill patternType="solid">
        <fgColor rgb="00FEF2F2"/>
        <bgColor rgb="00FEF2F2"/>
      </patternFill>
    </fill>
    <fill>
      <patternFill patternType="solid">
        <fgColor rgb="00FFF7ED"/>
        <bgColor rgb="00FFF7ED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3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vertical="top" wrapText="1"/>
    </xf>
    <xf numFmtId="0" fontId="1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  <xf numFmtId="164" fontId="5" fillId="0" borderId="0" pivotButton="0" quotePrefix="0" xfId="0"/>
    <xf numFmtId="164" fontId="0" fillId="0" borderId="0" pivotButton="0" quotePrefix="0" xfId="0"/>
    <xf numFmtId="0" fontId="6" fillId="0" borderId="0" pivotButton="0" quotePrefix="0" xfId="0"/>
    <xf numFmtId="164" fontId="7" fillId="0" borderId="1" pivotButton="0" quotePrefix="0" xfId="0"/>
    <xf numFmtId="0" fontId="8" fillId="0" borderId="0" pivotButton="0" quotePrefix="0" xfId="0"/>
    <xf numFmtId="164" fontId="8" fillId="3" borderId="0" pivotButton="0" quotePrefix="0" xfId="0"/>
    <xf numFmtId="0" fontId="9" fillId="0" borderId="0" pivotButton="0" quotePrefix="0" xfId="0"/>
    <xf numFmtId="0" fontId="10" fillId="0" borderId="0" pivotButton="0" quotePrefix="0" xfId="0"/>
    <xf numFmtId="164" fontId="10" fillId="4" borderId="0" pivotButton="0" quotePrefix="0" xfId="0"/>
    <xf numFmtId="0" fontId="11" fillId="0" borderId="0" pivotButton="0" quotePrefix="0" xfId="0"/>
    <xf numFmtId="164" fontId="1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97316"/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📋 12-Month Cash Flow Forecast — Instructions</t>
        </is>
      </c>
    </row>
    <row r="2">
      <c r="A2" s="2" t="inlineStr">
        <is>
          <t>BuiltRight Academy | builtrighthq.com</t>
        </is>
      </c>
    </row>
    <row r="3">
      <c r="A3" s="3" t="inlineStr"/>
    </row>
    <row r="4" ht="30" customHeight="1">
      <c r="A4" s="4" t="inlineStr">
        <is>
          <t>— Predict your cash position month by month. Never run out of cash. —</t>
        </is>
      </c>
    </row>
    <row r="5" ht="22" customHeight="1">
      <c r="A5" s="4" t="inlineStr">
        <is>
          <t>© 2026 BuiltRight Academy | builtrighthq.com</t>
        </is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97316"/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5" t="inlineStr">
        <is>
          <t>12-MONTH CASH FLOW FORECAST</t>
        </is>
      </c>
    </row>
    <row r="2">
      <c r="A2" s="2" t="inlineStr">
        <is>
          <t>[YOUR COMPANY NAME] — 2026</t>
        </is>
      </c>
    </row>
    <row r="4">
      <c r="B4" s="6" t="inlineStr">
        <is>
          <t>Jan</t>
        </is>
      </c>
      <c r="C4" s="6" t="inlineStr">
        <is>
          <t>Feb</t>
        </is>
      </c>
      <c r="D4" s="6" t="inlineStr">
        <is>
          <t>Mar</t>
        </is>
      </c>
      <c r="E4" s="6" t="inlineStr">
        <is>
          <t>Apr</t>
        </is>
      </c>
      <c r="F4" s="6" t="inlineStr">
        <is>
          <t>May</t>
        </is>
      </c>
      <c r="G4" s="6" t="inlineStr">
        <is>
          <t>Jun</t>
        </is>
      </c>
      <c r="H4" s="6" t="inlineStr">
        <is>
          <t>Jul</t>
        </is>
      </c>
      <c r="I4" s="6" t="inlineStr">
        <is>
          <t>Aug</t>
        </is>
      </c>
      <c r="J4" s="6" t="inlineStr">
        <is>
          <t>Sep</t>
        </is>
      </c>
      <c r="K4" s="6" t="inlineStr">
        <is>
          <t>Oct</t>
        </is>
      </c>
      <c r="L4" s="6" t="inlineStr">
        <is>
          <t>Nov</t>
        </is>
      </c>
      <c r="M4" s="6" t="inlineStr">
        <is>
          <t>Dec</t>
        </is>
      </c>
      <c r="N4" s="6" t="inlineStr">
        <is>
          <t>Total</t>
        </is>
      </c>
    </row>
    <row r="5">
      <c r="A5" s="7" t="inlineStr">
        <is>
          <t>OPENING BALANCE</t>
        </is>
      </c>
      <c r="B5" s="8" t="n">
        <v>15000</v>
      </c>
      <c r="C5" s="9">
        <f>B22</f>
        <v/>
      </c>
      <c r="D5" s="9">
        <f>C22</f>
        <v/>
      </c>
      <c r="E5" s="9">
        <f>D22</f>
        <v/>
      </c>
      <c r="F5" s="9">
        <f>E22</f>
        <v/>
      </c>
      <c r="G5" s="9">
        <f>F22</f>
        <v/>
      </c>
      <c r="H5" s="9">
        <f>G22</f>
        <v/>
      </c>
      <c r="I5" s="9">
        <f>H22</f>
        <v/>
      </c>
      <c r="J5" s="9">
        <f>I22</f>
        <v/>
      </c>
      <c r="K5" s="9">
        <f>J22</f>
        <v/>
      </c>
      <c r="L5" s="9">
        <f>K22</f>
        <v/>
      </c>
      <c r="M5" s="9">
        <f>L22</f>
        <v/>
      </c>
    </row>
    <row r="7">
      <c r="A7" s="10" t="inlineStr">
        <is>
          <t>CASH IN</t>
        </is>
      </c>
    </row>
    <row r="8">
      <c r="A8" s="3" t="inlineStr">
        <is>
          <t>Customer Payments</t>
        </is>
      </c>
      <c r="B8" s="11" t="n">
        <v>18500</v>
      </c>
      <c r="C8" s="11" t="n">
        <v>22300</v>
      </c>
      <c r="D8" s="11" t="n">
        <v>28400</v>
      </c>
      <c r="E8" s="11" t="n">
        <v>15800</v>
      </c>
      <c r="F8" s="11" t="n">
        <v>20000</v>
      </c>
      <c r="G8" s="11" t="n">
        <v>25000</v>
      </c>
      <c r="H8" s="11" t="n">
        <v>30000</v>
      </c>
      <c r="I8" s="11" t="n">
        <v>28000</v>
      </c>
      <c r="J8" s="11" t="n">
        <v>22000</v>
      </c>
      <c r="K8" s="11" t="n">
        <v>18000</v>
      </c>
      <c r="L8" s="11" t="n">
        <v>15000</v>
      </c>
      <c r="M8" s="11" t="n">
        <v>12000</v>
      </c>
      <c r="N8" s="9">
        <f>SUM(B8:M8)</f>
        <v/>
      </c>
    </row>
    <row r="9">
      <c r="A9" s="3" t="inlineStr">
        <is>
          <t>Deposits Received</t>
        </is>
      </c>
      <c r="B9" s="11" t="n">
        <v>4500</v>
      </c>
      <c r="C9" s="11" t="n">
        <v>6000</v>
      </c>
      <c r="D9" s="11" t="n">
        <v>8000</v>
      </c>
      <c r="E9" s="11" t="n">
        <v>3500</v>
      </c>
      <c r="F9" s="11" t="n">
        <v>5000</v>
      </c>
      <c r="G9" s="11" t="n">
        <v>7000</v>
      </c>
      <c r="H9" s="11" t="n">
        <v>8000</v>
      </c>
      <c r="I9" s="11" t="n">
        <v>6000</v>
      </c>
      <c r="J9" s="11" t="n">
        <v>5000</v>
      </c>
      <c r="K9" s="11" t="n">
        <v>4000</v>
      </c>
      <c r="L9" s="11" t="n">
        <v>3000</v>
      </c>
      <c r="M9" s="11" t="n">
        <v>2000</v>
      </c>
      <c r="N9" s="9">
        <f>SUM(B9:M9)</f>
        <v/>
      </c>
    </row>
    <row r="10">
      <c r="A10" s="3" t="inlineStr">
        <is>
          <t>Other Income</t>
        </is>
      </c>
      <c r="B10" s="11" t="n">
        <v>0</v>
      </c>
      <c r="C10" s="11" t="n">
        <v>0</v>
      </c>
      <c r="D10" s="11" t="n">
        <v>250</v>
      </c>
      <c r="E10" s="11" t="n">
        <v>0</v>
      </c>
      <c r="F10" s="11" t="n">
        <v>0</v>
      </c>
      <c r="G10" s="11" t="n">
        <v>500</v>
      </c>
      <c r="H10" s="11" t="n">
        <v>0</v>
      </c>
      <c r="I10" s="11" t="n">
        <v>0</v>
      </c>
      <c r="J10" s="11" t="n">
        <v>300</v>
      </c>
      <c r="K10" s="11" t="n">
        <v>0</v>
      </c>
      <c r="L10" s="11" t="n">
        <v>0</v>
      </c>
      <c r="M10" s="11" t="n">
        <v>0</v>
      </c>
      <c r="N10" s="9">
        <f>SUM(B10:M10)</f>
        <v/>
      </c>
    </row>
    <row r="11">
      <c r="A11" s="12" t="inlineStr">
        <is>
          <t>TOTAL CASH IN</t>
        </is>
      </c>
      <c r="B11" s="13">
        <f>SUM(B8:B10)</f>
        <v/>
      </c>
      <c r="C11" s="13">
        <f>SUM(C8:C10)</f>
        <v/>
      </c>
      <c r="D11" s="13">
        <f>SUM(D8:D10)</f>
        <v/>
      </c>
      <c r="E11" s="13">
        <f>SUM(E8:E10)</f>
        <v/>
      </c>
      <c r="F11" s="13">
        <f>SUM(F8:F10)</f>
        <v/>
      </c>
      <c r="G11" s="13">
        <f>SUM(G8:G10)</f>
        <v/>
      </c>
      <c r="H11" s="13">
        <f>SUM(H8:H10)</f>
        <v/>
      </c>
      <c r="I11" s="13">
        <f>SUM(I8:I10)</f>
        <v/>
      </c>
      <c r="J11" s="13">
        <f>SUM(J8:J10)</f>
        <v/>
      </c>
      <c r="K11" s="13">
        <f>SUM(K8:K10)</f>
        <v/>
      </c>
      <c r="L11" s="13">
        <f>SUM(L8:L10)</f>
        <v/>
      </c>
      <c r="M11" s="13">
        <f>SUM(M8:M10)</f>
        <v/>
      </c>
      <c r="N11" s="13">
        <f>SUM(N8:N10)</f>
        <v/>
      </c>
    </row>
    <row r="13">
      <c r="A13" s="14" t="inlineStr">
        <is>
          <t>CASH OUT</t>
        </is>
      </c>
    </row>
    <row r="14">
      <c r="A14" s="3" t="inlineStr">
        <is>
          <t>Materials &amp; Supplies</t>
        </is>
      </c>
      <c r="B14" s="11" t="n">
        <v>8200</v>
      </c>
      <c r="C14" s="11" t="n">
        <v>9800</v>
      </c>
      <c r="D14" s="11" t="n">
        <v>12500</v>
      </c>
      <c r="E14" s="11" t="n">
        <v>7100</v>
      </c>
      <c r="F14" s="11" t="n">
        <v>8500</v>
      </c>
      <c r="G14" s="11" t="n">
        <v>11000</v>
      </c>
      <c r="H14" s="11" t="n">
        <v>13000</v>
      </c>
      <c r="I14" s="11" t="n">
        <v>12000</v>
      </c>
      <c r="J14" s="11" t="n">
        <v>9500</v>
      </c>
      <c r="K14" s="11" t="n">
        <v>8000</v>
      </c>
      <c r="L14" s="11" t="n">
        <v>6500</v>
      </c>
      <c r="M14" s="11" t="n">
        <v>5000</v>
      </c>
      <c r="N14" s="9">
        <f>SUM(B14:M14)</f>
        <v/>
      </c>
    </row>
    <row r="15">
      <c r="A15" s="3" t="inlineStr">
        <is>
          <t>Labor / Payroll</t>
        </is>
      </c>
      <c r="B15" s="11" t="n">
        <v>5400</v>
      </c>
      <c r="C15" s="11" t="n">
        <v>6800</v>
      </c>
      <c r="D15" s="11" t="n">
        <v>8200</v>
      </c>
      <c r="E15" s="11" t="n">
        <v>4600</v>
      </c>
      <c r="F15" s="11" t="n">
        <v>5800</v>
      </c>
      <c r="G15" s="11" t="n">
        <v>7200</v>
      </c>
      <c r="H15" s="11" t="n">
        <v>8500</v>
      </c>
      <c r="I15" s="11" t="n">
        <v>7800</v>
      </c>
      <c r="J15" s="11" t="n">
        <v>6200</v>
      </c>
      <c r="K15" s="11" t="n">
        <v>5000</v>
      </c>
      <c r="L15" s="11" t="n">
        <v>4200</v>
      </c>
      <c r="M15" s="11" t="n">
        <v>3500</v>
      </c>
      <c r="N15" s="9">
        <f>SUM(B15:M15)</f>
        <v/>
      </c>
    </row>
    <row r="16">
      <c r="A16" s="3" t="inlineStr">
        <is>
          <t>Subcontractors</t>
        </is>
      </c>
      <c r="B16" s="11" t="n">
        <v>1200</v>
      </c>
      <c r="C16" s="11" t="n">
        <v>2000</v>
      </c>
      <c r="D16" s="11" t="n">
        <v>3000</v>
      </c>
      <c r="E16" s="11" t="n">
        <v>800</v>
      </c>
      <c r="F16" s="11" t="n">
        <v>1500</v>
      </c>
      <c r="G16" s="11" t="n">
        <v>2500</v>
      </c>
      <c r="H16" s="11" t="n">
        <v>3200</v>
      </c>
      <c r="I16" s="11" t="n">
        <v>2800</v>
      </c>
      <c r="J16" s="11" t="n">
        <v>1800</v>
      </c>
      <c r="K16" s="11" t="n">
        <v>1200</v>
      </c>
      <c r="L16" s="11" t="n">
        <v>800</v>
      </c>
      <c r="M16" s="11" t="n">
        <v>500</v>
      </c>
      <c r="N16" s="9">
        <f>SUM(B16:M16)</f>
        <v/>
      </c>
    </row>
    <row r="17">
      <c r="A17" s="3" t="inlineStr">
        <is>
          <t>Vehicle &amp; Fuel</t>
        </is>
      </c>
      <c r="B17" s="11" t="n">
        <v>480</v>
      </c>
      <c r="C17" s="11" t="n">
        <v>520</v>
      </c>
      <c r="D17" s="11" t="n">
        <v>580</v>
      </c>
      <c r="E17" s="11" t="n">
        <v>450</v>
      </c>
      <c r="F17" s="11" t="n">
        <v>500</v>
      </c>
      <c r="G17" s="11" t="n">
        <v>550</v>
      </c>
      <c r="H17" s="11" t="n">
        <v>600</v>
      </c>
      <c r="I17" s="11" t="n">
        <v>580</v>
      </c>
      <c r="J17" s="11" t="n">
        <v>500</v>
      </c>
      <c r="K17" s="11" t="n">
        <v>450</v>
      </c>
      <c r="L17" s="11" t="n">
        <v>420</v>
      </c>
      <c r="M17" s="11" t="n">
        <v>380</v>
      </c>
      <c r="N17" s="9">
        <f>SUM(B17:M17)</f>
        <v/>
      </c>
    </row>
    <row r="18">
      <c r="A18" s="3" t="inlineStr">
        <is>
          <t>Insurance</t>
        </is>
      </c>
      <c r="B18" s="11" t="n">
        <v>650</v>
      </c>
      <c r="C18" s="11" t="n">
        <v>650</v>
      </c>
      <c r="D18" s="11" t="n">
        <v>650</v>
      </c>
      <c r="E18" s="11" t="n">
        <v>650</v>
      </c>
      <c r="F18" s="11" t="n">
        <v>650</v>
      </c>
      <c r="G18" s="11" t="n">
        <v>650</v>
      </c>
      <c r="H18" s="11" t="n">
        <v>650</v>
      </c>
      <c r="I18" s="11" t="n">
        <v>650</v>
      </c>
      <c r="J18" s="11" t="n">
        <v>650</v>
      </c>
      <c r="K18" s="11" t="n">
        <v>650</v>
      </c>
      <c r="L18" s="11" t="n">
        <v>650</v>
      </c>
      <c r="M18" s="11" t="n">
        <v>650</v>
      </c>
      <c r="N18" s="9">
        <f>SUM(B18:M18)</f>
        <v/>
      </c>
    </row>
    <row r="19">
      <c r="A19" s="3" t="inlineStr">
        <is>
          <t>Marketing</t>
        </is>
      </c>
      <c r="B19" s="11" t="n">
        <v>200</v>
      </c>
      <c r="C19" s="11" t="n">
        <v>200</v>
      </c>
      <c r="D19" s="11" t="n">
        <v>200</v>
      </c>
      <c r="E19" s="11" t="n">
        <v>200</v>
      </c>
      <c r="F19" s="11" t="n">
        <v>200</v>
      </c>
      <c r="G19" s="11" t="n">
        <v>200</v>
      </c>
      <c r="H19" s="11" t="n">
        <v>200</v>
      </c>
      <c r="I19" s="11" t="n">
        <v>200</v>
      </c>
      <c r="J19" s="11" t="n">
        <v>200</v>
      </c>
      <c r="K19" s="11" t="n">
        <v>200</v>
      </c>
      <c r="L19" s="11" t="n">
        <v>200</v>
      </c>
      <c r="M19" s="11" t="n">
        <v>200</v>
      </c>
      <c r="N19" s="9">
        <f>SUM(B19:M19)</f>
        <v/>
      </c>
    </row>
    <row r="20">
      <c r="A20" s="3" t="inlineStr">
        <is>
          <t>Office/Phone/Software</t>
        </is>
      </c>
      <c r="B20" s="11" t="n">
        <v>150</v>
      </c>
      <c r="C20" s="11" t="n">
        <v>150</v>
      </c>
      <c r="D20" s="11" t="n">
        <v>150</v>
      </c>
      <c r="E20" s="11" t="n">
        <v>150</v>
      </c>
      <c r="F20" s="11" t="n">
        <v>150</v>
      </c>
      <c r="G20" s="11" t="n">
        <v>150</v>
      </c>
      <c r="H20" s="11" t="n">
        <v>150</v>
      </c>
      <c r="I20" s="11" t="n">
        <v>150</v>
      </c>
      <c r="J20" s="11" t="n">
        <v>150</v>
      </c>
      <c r="K20" s="11" t="n">
        <v>150</v>
      </c>
      <c r="L20" s="11" t="n">
        <v>150</v>
      </c>
      <c r="M20" s="11" t="n">
        <v>150</v>
      </c>
      <c r="N20" s="9">
        <f>SUM(B20:M20)</f>
        <v/>
      </c>
    </row>
    <row r="21">
      <c r="A21" s="3" t="inlineStr">
        <is>
          <t>Equipment/Tools</t>
        </is>
      </c>
      <c r="B21" s="11" t="n">
        <v>350</v>
      </c>
      <c r="C21" s="11" t="n">
        <v>180</v>
      </c>
      <c r="D21" s="11" t="n">
        <v>900</v>
      </c>
      <c r="E21" s="11" t="n">
        <v>120</v>
      </c>
      <c r="F21" s="11" t="n">
        <v>250</v>
      </c>
      <c r="G21" s="11" t="n">
        <v>300</v>
      </c>
      <c r="H21" s="11" t="n">
        <v>150</v>
      </c>
      <c r="I21" s="11" t="n">
        <v>200</v>
      </c>
      <c r="J21" s="11" t="n">
        <v>300</v>
      </c>
      <c r="K21" s="11" t="n">
        <v>180</v>
      </c>
      <c r="L21" s="11" t="n">
        <v>100</v>
      </c>
      <c r="M21" s="11" t="n">
        <v>100</v>
      </c>
      <c r="N21" s="9">
        <f>SUM(B21:M21)</f>
        <v/>
      </c>
    </row>
    <row r="22">
      <c r="A22" s="3" t="inlineStr">
        <is>
          <t>Taxes (quarterly est.)</t>
        </is>
      </c>
      <c r="B22" s="11" t="n">
        <v>0</v>
      </c>
      <c r="C22" s="11" t="n">
        <v>0</v>
      </c>
      <c r="D22" s="11" t="n">
        <v>3500</v>
      </c>
      <c r="E22" s="11" t="n">
        <v>0</v>
      </c>
      <c r="F22" s="11" t="n">
        <v>0</v>
      </c>
      <c r="G22" s="11" t="n">
        <v>3500</v>
      </c>
      <c r="H22" s="11" t="n">
        <v>0</v>
      </c>
      <c r="I22" s="11" t="n">
        <v>0</v>
      </c>
      <c r="J22" s="11" t="n">
        <v>3500</v>
      </c>
      <c r="K22" s="11" t="n">
        <v>0</v>
      </c>
      <c r="L22" s="11" t="n">
        <v>0</v>
      </c>
      <c r="M22" s="11" t="n">
        <v>3500</v>
      </c>
      <c r="N22" s="9">
        <f>SUM(B22:M22)</f>
        <v/>
      </c>
    </row>
    <row r="23">
      <c r="A23" s="15" t="inlineStr">
        <is>
          <t>TOTAL CASH OUT</t>
        </is>
      </c>
      <c r="B23" s="16">
        <f>SUM(B14:B22)</f>
        <v/>
      </c>
      <c r="C23" s="16">
        <f>SUM(C14:C22)</f>
        <v/>
      </c>
      <c r="D23" s="16">
        <f>SUM(D14:D22)</f>
        <v/>
      </c>
      <c r="E23" s="16">
        <f>SUM(E14:E22)</f>
        <v/>
      </c>
      <c r="F23" s="16">
        <f>SUM(F14:F22)</f>
        <v/>
      </c>
      <c r="G23" s="16">
        <f>SUM(G14:G22)</f>
        <v/>
      </c>
      <c r="H23" s="16">
        <f>SUM(H14:H22)</f>
        <v/>
      </c>
      <c r="I23" s="16">
        <f>SUM(I14:I22)</f>
        <v/>
      </c>
      <c r="J23" s="16">
        <f>SUM(J14:J22)</f>
        <v/>
      </c>
      <c r="K23" s="16">
        <f>SUM(K14:K22)</f>
        <v/>
      </c>
      <c r="L23" s="16">
        <f>SUM(L14:L22)</f>
        <v/>
      </c>
      <c r="M23" s="16">
        <f>SUM(M14:M22)</f>
        <v/>
      </c>
      <c r="N23" s="16">
        <f>SUM(N14:N22)</f>
        <v/>
      </c>
    </row>
    <row r="24">
      <c r="A24" s="17" t="inlineStr">
        <is>
          <t>CLOSING BALANCE</t>
        </is>
      </c>
      <c r="B24" s="18">
        <f>B5+B11-B23</f>
        <v/>
      </c>
      <c r="C24" s="18">
        <f>C5+C11-C23</f>
        <v/>
      </c>
      <c r="D24" s="18">
        <f>D5+D11-D23</f>
        <v/>
      </c>
      <c r="E24" s="18">
        <f>E5+E11-E23</f>
        <v/>
      </c>
      <c r="F24" s="18">
        <f>F5+F11-F23</f>
        <v/>
      </c>
      <c r="G24" s="18">
        <f>G5+G11-G23</f>
        <v/>
      </c>
      <c r="H24" s="18">
        <f>H5+H11-H23</f>
        <v/>
      </c>
      <c r="I24" s="18">
        <f>I5+I11-I23</f>
        <v/>
      </c>
      <c r="J24" s="18">
        <f>J5+J11-J23</f>
        <v/>
      </c>
      <c r="K24" s="18">
        <f>K5+K11-K23</f>
        <v/>
      </c>
      <c r="L24" s="18">
        <f>L5+L11-L23</f>
        <v/>
      </c>
      <c r="M24" s="18">
        <f>M5+M11-M23</f>
        <v/>
      </c>
      <c r="N24" s="18">
        <f>N5+N11-N23</f>
        <v/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2026-03-10T13:34:41Z</dcterms:created>
  <dcterms:modified xmlns:dcterms="http://purl.org/dc/terms/" xmlns:xsi="http://www.w3.org/2001/XMLSchema-instance" xsi:type="dcterms:W3CDTF">2026-03-10T13:34:41Z</dcterms:modified>
</cp:coreProperties>
</file>