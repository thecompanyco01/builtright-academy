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h Flow Foreca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97316"/>
      <sz val="24"/>
    </font>
    <font>
      <b val="1"/>
      <color rgb="00666666"/>
      <sz val="12"/>
    </font>
    <font>
      <name val="Calibri"/>
      <b val="1"/>
      <color rgb="00FFFFFF"/>
      <sz val="11"/>
    </font>
    <font>
      <b val="1"/>
      <color rgb="00F97316"/>
      <sz val="11"/>
    </font>
    <font>
      <b val="1"/>
      <color rgb="00F97316"/>
      <sz val="12"/>
    </font>
    <font>
      <name val="Calibri"/>
      <sz val="11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97316"/>
        <bgColor rgb="00F97316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  <xf numFmtId="164" fontId="6" fillId="3" borderId="1" pivotButton="0" quotePrefix="0" xfId="0"/>
    <xf numFmtId="0" fontId="7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CASH FLOW FORECAST</t>
        </is>
      </c>
    </row>
    <row r="2">
      <c r="A2" s="2" t="inlineStr">
        <is>
          <t>YOUR COMPANY NAME — 2026</t>
        </is>
      </c>
    </row>
    <row r="4">
      <c r="A4" s="3" t="inlineStr"/>
      <c r="B4" s="3" t="inlineStr">
        <is>
          <t>Jan</t>
        </is>
      </c>
      <c r="C4" s="3" t="inlineStr">
        <is>
          <t>Feb</t>
        </is>
      </c>
      <c r="D4" s="3" t="inlineStr">
        <is>
          <t>Mar</t>
        </is>
      </c>
      <c r="E4" s="3" t="inlineStr">
        <is>
          <t>Apr</t>
        </is>
      </c>
      <c r="F4" s="3" t="inlineStr">
        <is>
          <t>May</t>
        </is>
      </c>
      <c r="G4" s="3" t="inlineStr">
        <is>
          <t>Jun</t>
        </is>
      </c>
      <c r="H4" s="3" t="inlineStr">
        <is>
          <t>Jul</t>
        </is>
      </c>
      <c r="I4" s="3" t="inlineStr">
        <is>
          <t>Aug</t>
        </is>
      </c>
      <c r="J4" s="3" t="inlineStr">
        <is>
          <t>Sep</t>
        </is>
      </c>
      <c r="K4" s="3" t="inlineStr">
        <is>
          <t>Oct</t>
        </is>
      </c>
      <c r="L4" s="3" t="inlineStr">
        <is>
          <t>Nov</t>
        </is>
      </c>
      <c r="M4" s="3" t="inlineStr">
        <is>
          <t>Dec</t>
        </is>
      </c>
    </row>
    <row r="5">
      <c r="A5" s="4" t="inlineStr">
        <is>
          <t>OPENING BALANCE</t>
        </is>
      </c>
      <c r="B5" s="5" t="n">
        <v>15000</v>
      </c>
      <c r="C5" s="5">
        <f>B23</f>
        <v/>
      </c>
      <c r="D5" s="5">
        <f>C23</f>
        <v/>
      </c>
      <c r="E5" s="5">
        <f>D23</f>
        <v/>
      </c>
      <c r="F5" s="5">
        <f>E23</f>
        <v/>
      </c>
      <c r="G5" s="5">
        <f>F23</f>
        <v/>
      </c>
      <c r="H5" s="5">
        <f>G23</f>
        <v/>
      </c>
      <c r="I5" s="5">
        <f>H23</f>
        <v/>
      </c>
      <c r="J5" s="5">
        <f>I23</f>
        <v/>
      </c>
      <c r="K5" s="5">
        <f>J23</f>
        <v/>
      </c>
      <c r="L5" s="5">
        <f>K23</f>
        <v/>
      </c>
      <c r="M5" s="5">
        <f>L23</f>
        <v/>
      </c>
    </row>
    <row r="7">
      <c r="A7" s="6" t="inlineStr">
        <is>
          <t>CASH IN</t>
        </is>
      </c>
    </row>
    <row r="8">
      <c r="A8" s="7" t="inlineStr">
        <is>
          <t>Customer Payments</t>
        </is>
      </c>
      <c r="B8" s="8" t="n">
        <v>16000</v>
      </c>
      <c r="C8" s="8" t="n">
        <v>22000</v>
      </c>
      <c r="D8" s="8" t="n">
        <v>18000</v>
      </c>
      <c r="E8" s="8" t="n">
        <v>20000</v>
      </c>
      <c r="F8" s="8" t="n">
        <v>25000</v>
      </c>
      <c r="G8" s="8" t="n">
        <v>28000</v>
      </c>
      <c r="H8" s="8" t="n">
        <v>30000</v>
      </c>
      <c r="I8" s="8" t="n">
        <v>27000</v>
      </c>
      <c r="J8" s="8" t="n">
        <v>24000</v>
      </c>
      <c r="K8" s="8" t="n">
        <v>21000</v>
      </c>
      <c r="L8" s="8" t="n">
        <v>18000</v>
      </c>
      <c r="M8" s="8" t="n">
        <v>15000</v>
      </c>
    </row>
    <row r="9">
      <c r="A9" s="9" t="inlineStr">
        <is>
          <t>Other Income</t>
        </is>
      </c>
      <c r="B9" s="10" t="n">
        <v>500</v>
      </c>
      <c r="C9" s="10" t="n">
        <v>0</v>
      </c>
      <c r="D9" s="10" t="n">
        <v>300</v>
      </c>
      <c r="E9" s="10" t="n">
        <v>0</v>
      </c>
      <c r="F9" s="10" t="n">
        <v>200</v>
      </c>
      <c r="G9" s="10" t="n">
        <v>0</v>
      </c>
      <c r="H9" s="10" t="n">
        <v>0</v>
      </c>
      <c r="I9" s="10" t="n">
        <v>500</v>
      </c>
      <c r="J9" s="10" t="n">
        <v>0</v>
      </c>
      <c r="K9" s="10" t="n">
        <v>200</v>
      </c>
      <c r="L9" s="10" t="n">
        <v>0</v>
      </c>
      <c r="M9" s="10" t="n">
        <v>0</v>
      </c>
    </row>
    <row r="10">
      <c r="A10" s="11" t="inlineStr">
        <is>
          <t>TOTAL CASH IN</t>
        </is>
      </c>
      <c r="B10" s="12">
        <f>SUM(B8:B9)</f>
        <v/>
      </c>
      <c r="C10" s="12">
        <f>SUM(C8:C9)</f>
        <v/>
      </c>
      <c r="D10" s="12">
        <f>SUM(D8:D9)</f>
        <v/>
      </c>
      <c r="E10" s="12">
        <f>SUM(E8:E9)</f>
        <v/>
      </c>
      <c r="F10" s="12">
        <f>SUM(F8:F9)</f>
        <v/>
      </c>
      <c r="G10" s="12">
        <f>SUM(G8:G9)</f>
        <v/>
      </c>
      <c r="H10" s="12">
        <f>SUM(H8:H9)</f>
        <v/>
      </c>
      <c r="I10" s="12">
        <f>SUM(I8:I9)</f>
        <v/>
      </c>
      <c r="J10" s="12">
        <f>SUM(J8:J9)</f>
        <v/>
      </c>
      <c r="K10" s="12">
        <f>SUM(K8:K9)</f>
        <v/>
      </c>
      <c r="L10" s="12">
        <f>SUM(L8:L9)</f>
        <v/>
      </c>
      <c r="M10" s="12">
        <f>SUM(M8:M9)</f>
        <v/>
      </c>
    </row>
    <row r="12">
      <c r="A12" s="6" t="inlineStr">
        <is>
          <t>CASH OUT</t>
        </is>
      </c>
    </row>
    <row r="13">
      <c r="A13" s="7" t="inlineStr">
        <is>
          <t>Materials</t>
        </is>
      </c>
      <c r="B13" s="8" t="n">
        <v>7000</v>
      </c>
      <c r="C13" s="8" t="n">
        <v>9500</v>
      </c>
      <c r="D13" s="8" t="n">
        <v>8000</v>
      </c>
      <c r="E13" s="8" t="n">
        <v>8500</v>
      </c>
      <c r="F13" s="8" t="n">
        <v>10000</v>
      </c>
      <c r="G13" s="8" t="n">
        <v>11000</v>
      </c>
      <c r="H13" s="8" t="n">
        <v>12000</v>
      </c>
      <c r="I13" s="8" t="n">
        <v>10500</v>
      </c>
      <c r="J13" s="8" t="n">
        <v>9500</v>
      </c>
      <c r="K13" s="8" t="n">
        <v>8500</v>
      </c>
      <c r="L13" s="8" t="n">
        <v>7500</v>
      </c>
      <c r="M13" s="8" t="n">
        <v>6000</v>
      </c>
    </row>
    <row r="14">
      <c r="A14" s="9" t="inlineStr">
        <is>
          <t>Labor / Payroll</t>
        </is>
      </c>
      <c r="B14" s="10" t="n">
        <v>5500</v>
      </c>
      <c r="C14" s="10" t="n">
        <v>7000</v>
      </c>
      <c r="D14" s="10" t="n">
        <v>6500</v>
      </c>
      <c r="E14" s="10" t="n">
        <v>7000</v>
      </c>
      <c r="F14" s="10" t="n">
        <v>8500</v>
      </c>
      <c r="G14" s="10" t="n">
        <v>9000</v>
      </c>
      <c r="H14" s="10" t="n">
        <v>10000</v>
      </c>
      <c r="I14" s="10" t="n">
        <v>9000</v>
      </c>
      <c r="J14" s="10" t="n">
        <v>8000</v>
      </c>
      <c r="K14" s="10" t="n">
        <v>7000</v>
      </c>
      <c r="L14" s="10" t="n">
        <v>6000</v>
      </c>
      <c r="M14" s="10" t="n">
        <v>5000</v>
      </c>
    </row>
    <row r="15">
      <c r="A15" s="7" t="inlineStr">
        <is>
          <t>Overhead / Rent</t>
        </is>
      </c>
      <c r="B15" s="8" t="n">
        <v>1200</v>
      </c>
      <c r="C15" s="8" t="n">
        <v>1200</v>
      </c>
      <c r="D15" s="8" t="n">
        <v>1200</v>
      </c>
      <c r="E15" s="8" t="n">
        <v>1200</v>
      </c>
      <c r="F15" s="8" t="n">
        <v>1200</v>
      </c>
      <c r="G15" s="8" t="n">
        <v>1200</v>
      </c>
      <c r="H15" s="8" t="n">
        <v>1200</v>
      </c>
      <c r="I15" s="8" t="n">
        <v>1200</v>
      </c>
      <c r="J15" s="8" t="n">
        <v>1200</v>
      </c>
      <c r="K15" s="8" t="n">
        <v>1200</v>
      </c>
      <c r="L15" s="8" t="n">
        <v>1200</v>
      </c>
      <c r="M15" s="8" t="n">
        <v>1200</v>
      </c>
    </row>
    <row r="16">
      <c r="A16" s="9" t="inlineStr">
        <is>
          <t>Equipment</t>
        </is>
      </c>
      <c r="B16" s="10" t="n">
        <v>500</v>
      </c>
      <c r="C16" s="10" t="n">
        <v>200</v>
      </c>
      <c r="D16" s="10" t="n">
        <v>800</v>
      </c>
      <c r="E16" s="10" t="n">
        <v>300</v>
      </c>
      <c r="F16" s="10" t="n">
        <v>600</v>
      </c>
      <c r="G16" s="10" t="n">
        <v>200</v>
      </c>
      <c r="H16" s="10" t="n">
        <v>400</v>
      </c>
      <c r="I16" s="10" t="n">
        <v>300</v>
      </c>
      <c r="J16" s="10" t="n">
        <v>200</v>
      </c>
      <c r="K16" s="10" t="n">
        <v>500</v>
      </c>
      <c r="L16" s="10" t="n">
        <v>200</v>
      </c>
      <c r="M16" s="10" t="n">
        <v>100</v>
      </c>
    </row>
    <row r="17">
      <c r="A17" s="7" t="inlineStr">
        <is>
          <t>Marketing</t>
        </is>
      </c>
      <c r="B17" s="8" t="n">
        <v>300</v>
      </c>
      <c r="C17" s="8" t="n">
        <v>300</v>
      </c>
      <c r="D17" s="8" t="n">
        <v>300</v>
      </c>
      <c r="E17" s="8" t="n">
        <v>400</v>
      </c>
      <c r="F17" s="8" t="n">
        <v>500</v>
      </c>
      <c r="G17" s="8" t="n">
        <v>500</v>
      </c>
      <c r="H17" s="8" t="n">
        <v>500</v>
      </c>
      <c r="I17" s="8" t="n">
        <v>400</v>
      </c>
      <c r="J17" s="8" t="n">
        <v>300</v>
      </c>
      <c r="K17" s="8" t="n">
        <v>300</v>
      </c>
      <c r="L17" s="8" t="n">
        <v>200</v>
      </c>
      <c r="M17" s="8" t="n">
        <v>200</v>
      </c>
    </row>
    <row r="18">
      <c r="A18" s="9" t="inlineStr">
        <is>
          <t>Insurance</t>
        </is>
      </c>
      <c r="B18" s="10" t="n">
        <v>450</v>
      </c>
      <c r="C18" s="10" t="n">
        <v>450</v>
      </c>
      <c r="D18" s="10" t="n">
        <v>450</v>
      </c>
      <c r="E18" s="10" t="n">
        <v>450</v>
      </c>
      <c r="F18" s="10" t="n">
        <v>450</v>
      </c>
      <c r="G18" s="10" t="n">
        <v>450</v>
      </c>
      <c r="H18" s="10" t="n">
        <v>450</v>
      </c>
      <c r="I18" s="10" t="n">
        <v>450</v>
      </c>
      <c r="J18" s="10" t="n">
        <v>450</v>
      </c>
      <c r="K18" s="10" t="n">
        <v>450</v>
      </c>
      <c r="L18" s="10" t="n">
        <v>450</v>
      </c>
      <c r="M18" s="10" t="n">
        <v>450</v>
      </c>
    </row>
    <row r="19">
      <c r="A19" s="7" t="inlineStr">
        <is>
          <t>Taxes (quarterly)</t>
        </is>
      </c>
      <c r="B19" s="8" t="n">
        <v>0</v>
      </c>
      <c r="C19" s="8" t="n">
        <v>0</v>
      </c>
      <c r="D19" s="8" t="n">
        <v>3500</v>
      </c>
      <c r="E19" s="8" t="n">
        <v>0</v>
      </c>
      <c r="F19" s="8" t="n">
        <v>0</v>
      </c>
      <c r="G19" s="8" t="n">
        <v>4000</v>
      </c>
      <c r="H19" s="8" t="n">
        <v>0</v>
      </c>
      <c r="I19" s="8" t="n">
        <v>0</v>
      </c>
      <c r="J19" s="8" t="n">
        <v>4500</v>
      </c>
      <c r="K19" s="8" t="n">
        <v>0</v>
      </c>
      <c r="L19" s="8" t="n">
        <v>0</v>
      </c>
      <c r="M19" s="8" t="n">
        <v>4000</v>
      </c>
    </row>
    <row r="20">
      <c r="A20" s="11" t="inlineStr">
        <is>
          <t>TOTAL CASH OUT</t>
        </is>
      </c>
      <c r="B20" s="12">
        <f>SUM(B13:B19)</f>
        <v/>
      </c>
      <c r="C20" s="12">
        <f>SUM(C13:C19)</f>
        <v/>
      </c>
      <c r="D20" s="12">
        <f>SUM(D13:D19)</f>
        <v/>
      </c>
      <c r="E20" s="12">
        <f>SUM(E13:E19)</f>
        <v/>
      </c>
      <c r="F20" s="12">
        <f>SUM(F13:F19)</f>
        <v/>
      </c>
      <c r="G20" s="12">
        <f>SUM(G13:G19)</f>
        <v/>
      </c>
      <c r="H20" s="12">
        <f>SUM(H13:H19)</f>
        <v/>
      </c>
      <c r="I20" s="12">
        <f>SUM(I13:I19)</f>
        <v/>
      </c>
      <c r="J20" s="12">
        <f>SUM(J13:J19)</f>
        <v/>
      </c>
      <c r="K20" s="12">
        <f>SUM(K13:K19)</f>
        <v/>
      </c>
      <c r="L20" s="12">
        <f>SUM(L13:L19)</f>
        <v/>
      </c>
      <c r="M20" s="12">
        <f>SUM(M13:M19)</f>
        <v/>
      </c>
    </row>
    <row r="22">
      <c r="A22" s="13" t="inlineStr">
        <is>
          <t>NET CASH FLOW</t>
        </is>
      </c>
      <c r="B22" s="12">
        <f>B10-B20</f>
        <v/>
      </c>
      <c r="C22" s="12">
        <f>C10-C20</f>
        <v/>
      </c>
      <c r="D22" s="12">
        <f>D10-D20</f>
        <v/>
      </c>
      <c r="E22" s="12">
        <f>E10-E20</f>
        <v/>
      </c>
      <c r="F22" s="12">
        <f>F10-F20</f>
        <v/>
      </c>
      <c r="G22" s="12">
        <f>G10-G20</f>
        <v/>
      </c>
      <c r="H22" s="12">
        <f>H10-H20</f>
        <v/>
      </c>
      <c r="I22" s="12">
        <f>I10-I20</f>
        <v/>
      </c>
      <c r="J22" s="12">
        <f>J10-J20</f>
        <v/>
      </c>
      <c r="K22" s="12">
        <f>K10-K20</f>
        <v/>
      </c>
      <c r="L22" s="12">
        <f>L10-L20</f>
        <v/>
      </c>
      <c r="M22" s="12">
        <f>M10-M20</f>
        <v/>
      </c>
    </row>
    <row r="23">
      <c r="A23" s="6" t="inlineStr">
        <is>
          <t>CLOSING BALANCE</t>
        </is>
      </c>
      <c r="B23" s="14">
        <f>B5+B22</f>
        <v/>
      </c>
      <c r="C23" s="14">
        <f>C5+C22</f>
        <v/>
      </c>
      <c r="D23" s="14">
        <f>D5+D22</f>
        <v/>
      </c>
      <c r="E23" s="14">
        <f>E5+E22</f>
        <v/>
      </c>
      <c r="F23" s="14">
        <f>F5+F22</f>
        <v/>
      </c>
      <c r="G23" s="14">
        <f>G5+G22</f>
        <v/>
      </c>
      <c r="H23" s="14">
        <f>H5+H22</f>
        <v/>
      </c>
      <c r="I23" s="14">
        <f>I5+I22</f>
        <v/>
      </c>
      <c r="J23" s="14">
        <f>J5+J22</f>
        <v/>
      </c>
      <c r="K23" s="14">
        <f>K5+K22</f>
        <v/>
      </c>
      <c r="L23" s="14">
        <f>L5+L22</f>
        <v/>
      </c>
      <c r="M23" s="14">
        <f>M5+M22</f>
        <v/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2026-03-09T20:37:08Z</dcterms:created>
  <dcterms:modified xmlns:dcterms="http://purl.org/dc/terms/" xmlns:xsi="http://www.w3.org/2001/XMLSchema-instance" xsi:type="dcterms:W3CDTF">2026-03-09T20:37:08Z</dcterms:modified>
</cp:coreProperties>
</file>