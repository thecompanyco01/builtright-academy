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F97316"/>
      <sz val="24"/>
    </font>
    <font>
      <b val="1"/>
      <sz val="14"/>
    </font>
    <font>
      <name val="Calibri"/>
      <b val="1"/>
      <color rgb="00333333"/>
      <sz val="11"/>
    </font>
    <font>
      <b val="1"/>
      <color rgb="00F97316"/>
      <sz val="12"/>
    </font>
    <font>
      <b val="1"/>
      <sz val="13"/>
    </font>
    <font>
      <name val="Calibri"/>
      <b val="1"/>
      <color rgb="00FFFFFF"/>
      <sz val="11"/>
    </font>
    <font>
      <name val="Calibri"/>
      <sz val="11"/>
    </font>
    <font>
      <b val="1"/>
      <color rgb="00F97316"/>
      <sz val="13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pivotButton="0" quotePrefix="0" xfId="0"/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164" fontId="7" fillId="3" borderId="1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8" customWidth="1" min="4" max="4"/>
  </cols>
  <sheetData>
    <row r="1">
      <c r="A1" s="1" t="inlineStr">
        <is>
          <t>ESTIMATE</t>
        </is>
      </c>
    </row>
    <row r="3">
      <c r="A3" s="2" t="inlineStr">
        <is>
          <t>YOUR COMPANY NAME</t>
        </is>
      </c>
      <c r="C3" s="3" t="inlineStr">
        <is>
          <t>Estimate #:</t>
        </is>
      </c>
      <c r="D3" t="inlineStr">
        <is>
          <t>EST-2026-042</t>
        </is>
      </c>
    </row>
    <row r="4">
      <c r="A4" t="inlineStr">
        <is>
          <t>123 Main Street, Suite 100</t>
        </is>
      </c>
      <c r="C4" s="3" t="inlineStr">
        <is>
          <t>Date:</t>
        </is>
      </c>
      <c r="D4" t="inlineStr">
        <is>
          <t>03/09/2026</t>
        </is>
      </c>
    </row>
    <row r="5">
      <c r="A5" t="inlineStr">
        <is>
          <t>Your City, ST 12345</t>
        </is>
      </c>
      <c r="C5" s="3" t="inlineStr">
        <is>
          <t>Valid Until:</t>
        </is>
      </c>
      <c r="D5" t="inlineStr">
        <is>
          <t>04/08/2026</t>
        </is>
      </c>
    </row>
    <row r="6">
      <c r="A6" t="inlineStr">
        <is>
          <t>Phone: (555) 123-4567</t>
        </is>
      </c>
    </row>
    <row r="7">
      <c r="A7" t="inlineStr">
        <is>
          <t>Email: info@yourcompany.com</t>
        </is>
      </c>
    </row>
    <row r="9">
      <c r="A9" s="4" t="inlineStr">
        <is>
          <t>PREPARED FOR:</t>
        </is>
      </c>
    </row>
    <row r="10">
      <c r="A10" t="inlineStr">
        <is>
          <t>Robert &amp; Linda Chen</t>
        </is>
      </c>
    </row>
    <row r="11">
      <c r="A11" t="inlineStr">
        <is>
          <t>789 Maple Drive</t>
        </is>
      </c>
    </row>
    <row r="12">
      <c r="A12" t="inlineStr">
        <is>
          <t>Springfield, IL 62704</t>
        </is>
      </c>
    </row>
    <row r="14">
      <c r="A14" s="5" t="inlineStr">
        <is>
          <t>PROJECT: Master Bathroom Remodel</t>
        </is>
      </c>
    </row>
    <row r="16">
      <c r="A16" s="4" t="inlineStr">
        <is>
          <t>MATERIALS</t>
        </is>
      </c>
    </row>
    <row r="17">
      <c r="A17" s="6" t="inlineStr">
        <is>
          <t>Item</t>
        </is>
      </c>
      <c r="B17" s="6" t="inlineStr">
        <is>
          <t>Qty</t>
        </is>
      </c>
      <c r="C17" s="6" t="inlineStr">
        <is>
          <t>Unit Cost</t>
        </is>
      </c>
      <c r="D17" s="6" t="inlineStr">
        <is>
          <t>Total</t>
        </is>
      </c>
    </row>
    <row r="18">
      <c r="A18" s="7" t="inlineStr">
        <is>
          <t>Porcelain floor tile (12×24) - 80 sq ft</t>
        </is>
      </c>
      <c r="B18" s="8" t="n">
        <v>80</v>
      </c>
      <c r="C18" s="9" t="n">
        <v>4.5</v>
      </c>
      <c r="D18" s="9">
        <f>B18*C18</f>
        <v/>
      </c>
    </row>
    <row r="19">
      <c r="A19" s="10" t="inlineStr">
        <is>
          <t>Shower wall tile (subway) - 120 sq ft</t>
        </is>
      </c>
      <c r="B19" s="11" t="n">
        <v>120</v>
      </c>
      <c r="C19" s="12" t="n">
        <v>3.75</v>
      </c>
      <c r="D19" s="12">
        <f>B19*C19</f>
        <v/>
      </c>
    </row>
    <row r="20">
      <c r="A20" s="7" t="inlineStr">
        <is>
          <t>Vanity - 48" double sink</t>
        </is>
      </c>
      <c r="B20" s="8" t="n">
        <v>1</v>
      </c>
      <c r="C20" s="9" t="n">
        <v>850</v>
      </c>
      <c r="D20" s="9">
        <f>B20*C20</f>
        <v/>
      </c>
    </row>
    <row r="21">
      <c r="A21" s="10" t="inlineStr">
        <is>
          <t>Toilet - Kohler Highline comfort height</t>
        </is>
      </c>
      <c r="B21" s="11" t="n">
        <v>1</v>
      </c>
      <c r="C21" s="12" t="n">
        <v>285</v>
      </c>
      <c r="D21" s="12">
        <f>B21*C21</f>
        <v/>
      </c>
    </row>
    <row r="22">
      <c r="A22" s="7" t="inlineStr">
        <is>
          <t>Shower valve + trim kit (Moen)</t>
        </is>
      </c>
      <c r="B22" s="8" t="n">
        <v>1</v>
      </c>
      <c r="C22" s="9" t="n">
        <v>320</v>
      </c>
      <c r="D22" s="9">
        <f>B22*C22</f>
        <v/>
      </c>
    </row>
    <row r="23">
      <c r="A23" s="10" t="inlineStr">
        <is>
          <t>Frameless glass shower door (48")</t>
        </is>
      </c>
      <c r="B23" s="11" t="n">
        <v>1</v>
      </c>
      <c r="C23" s="12" t="n">
        <v>1100</v>
      </c>
      <c r="D23" s="12">
        <f>B23*C23</f>
        <v/>
      </c>
    </row>
    <row r="24">
      <c r="A24" s="7" t="inlineStr">
        <is>
          <t>Exhaust fan - 110 CFM with light</t>
        </is>
      </c>
      <c r="B24" s="8" t="n">
        <v>1</v>
      </c>
      <c r="C24" s="9" t="n">
        <v>175</v>
      </c>
      <c r="D24" s="9">
        <f>B24*C24</f>
        <v/>
      </c>
    </row>
    <row r="25">
      <c r="A25" s="10" t="inlineStr">
        <is>
          <t>Thinset, grout, backer board, supplies</t>
        </is>
      </c>
      <c r="B25" s="11" t="n">
        <v>1</v>
      </c>
      <c r="C25" s="12" t="n">
        <v>280</v>
      </c>
      <c r="D25" s="12">
        <f>B25*C25</f>
        <v/>
      </c>
    </row>
    <row r="27">
      <c r="A27" s="4" t="inlineStr">
        <is>
          <t>LABOR</t>
        </is>
      </c>
    </row>
    <row r="28">
      <c r="A28" s="6" t="inlineStr">
        <is>
          <t>Task</t>
        </is>
      </c>
      <c r="B28" s="6" t="inlineStr">
        <is>
          <t>Hours</t>
        </is>
      </c>
      <c r="C28" s="6" t="inlineStr">
        <is>
          <t>Rate</t>
        </is>
      </c>
      <c r="D28" s="6" t="inlineStr">
        <is>
          <t>Total</t>
        </is>
      </c>
    </row>
    <row r="29">
      <c r="A29" s="7" t="inlineStr">
        <is>
          <t>Demo &amp; haul-away</t>
        </is>
      </c>
      <c r="B29" s="8" t="n">
        <v>8</v>
      </c>
      <c r="C29" s="9" t="n">
        <v>65</v>
      </c>
      <c r="D29" s="9">
        <f>B29*C29</f>
        <v/>
      </c>
    </row>
    <row r="30">
      <c r="A30" s="10" t="inlineStr">
        <is>
          <t>Plumbing rough-in</t>
        </is>
      </c>
      <c r="B30" s="11" t="n">
        <v>12</v>
      </c>
      <c r="C30" s="12" t="n">
        <v>85</v>
      </c>
      <c r="D30" s="12">
        <f>B30*C30</f>
        <v/>
      </c>
    </row>
    <row r="31">
      <c r="A31" s="7" t="inlineStr">
        <is>
          <t>Electrical rough-in</t>
        </is>
      </c>
      <c r="B31" s="8" t="n">
        <v>6</v>
      </c>
      <c r="C31" s="9" t="n">
        <v>80</v>
      </c>
      <c r="D31" s="9">
        <f>B31*C31</f>
        <v/>
      </c>
    </row>
    <row r="32">
      <c r="A32" s="10" t="inlineStr">
        <is>
          <t>Tile installation (floor + shower)</t>
        </is>
      </c>
      <c r="B32" s="11" t="n">
        <v>20</v>
      </c>
      <c r="C32" s="12" t="n">
        <v>70</v>
      </c>
      <c r="D32" s="12">
        <f>B32*C32</f>
        <v/>
      </c>
    </row>
    <row r="33">
      <c r="A33" s="7" t="inlineStr">
        <is>
          <t>Vanity &amp; fixture install</t>
        </is>
      </c>
      <c r="B33" s="8" t="n">
        <v>6</v>
      </c>
      <c r="C33" s="9" t="n">
        <v>75</v>
      </c>
      <c r="D33" s="9">
        <f>B33*C33</f>
        <v/>
      </c>
    </row>
    <row r="34">
      <c r="A34" s="10" t="inlineStr">
        <is>
          <t>Painting &amp; trim</t>
        </is>
      </c>
      <c r="B34" s="11" t="n">
        <v>8</v>
      </c>
      <c r="C34" s="12" t="n">
        <v>55</v>
      </c>
      <c r="D34" s="12">
        <f>B34*C34</f>
        <v/>
      </c>
    </row>
    <row r="35">
      <c r="A35" s="7" t="inlineStr">
        <is>
          <t>Final clean &amp; punch list</t>
        </is>
      </c>
      <c r="B35" s="8" t="n">
        <v>4</v>
      </c>
      <c r="C35" s="9" t="n">
        <v>55</v>
      </c>
      <c r="D35" s="9">
        <f>B35*C35</f>
        <v/>
      </c>
    </row>
    <row r="37">
      <c r="C37" s="3" t="inlineStr">
        <is>
          <t>Materials Subtotal:</t>
        </is>
      </c>
      <c r="D37" s="13">
        <f>SUM(D18:D25)</f>
        <v/>
      </c>
    </row>
    <row r="38">
      <c r="C38" s="3" t="inlineStr">
        <is>
          <t>Labor Subtotal:</t>
        </is>
      </c>
      <c r="D38" s="13">
        <f>SUM(D29:D35)</f>
        <v/>
      </c>
    </row>
    <row r="39">
      <c r="C39" s="3" t="inlineStr">
        <is>
          <t>Subtotal:</t>
        </is>
      </c>
      <c r="D39" s="13">
        <f>D37+D38</f>
        <v/>
      </c>
    </row>
    <row r="40">
      <c r="C40" s="3" t="inlineStr">
        <is>
          <t>Markup (15%):</t>
        </is>
      </c>
      <c r="D40" s="13">
        <f>D39*0.15</f>
        <v/>
      </c>
    </row>
    <row r="41">
      <c r="C41" s="3" t="inlineStr">
        <is>
          <t>Tax (8.25%):</t>
        </is>
      </c>
      <c r="D41" s="13">
        <f>(D39+D40)*0.0825</f>
        <v/>
      </c>
    </row>
    <row r="42">
      <c r="C42" s="14" t="inlineStr">
        <is>
          <t>GRAND TOTAL:</t>
        </is>
      </c>
      <c r="D42" s="15">
        <f>D39+D40+D41</f>
        <v/>
      </c>
    </row>
    <row r="44">
      <c r="A44" s="4" t="inlineStr">
        <is>
          <t>TERMS &amp; CONDITIONS</t>
        </is>
      </c>
    </row>
    <row r="45">
      <c r="A45" t="inlineStr">
        <is>
          <t>1. This estimate is valid for 30 days from the date above.</t>
        </is>
      </c>
    </row>
    <row r="46">
      <c r="A46" t="inlineStr">
        <is>
          <t>2. 50% deposit required to schedule work. Balance due upon completion.</t>
        </is>
      </c>
    </row>
    <row r="47">
      <c r="A47" t="inlineStr">
        <is>
          <t>3. Any changes to scope will be documented via Change Order.</t>
        </is>
      </c>
    </row>
    <row r="48">
      <c r="A48" t="inlineStr">
        <is>
          <t>4. Unforeseen conditions (rot, mold, code issues) billed at T&amp;M.</t>
        </is>
      </c>
    </row>
    <row r="49">
      <c r="A49" t="inlineStr">
        <is>
          <t>5. All work guaranteed for 1 year from completion date.</t>
        </is>
      </c>
    </row>
    <row r="51">
      <c r="A51" s="4" t="inlineStr">
        <is>
          <t>ACCEPTANCE</t>
        </is>
      </c>
    </row>
    <row r="52">
      <c r="A52" t="inlineStr">
        <is>
          <t>Client Signature: ____________________________    Date: ____________</t>
        </is>
      </c>
    </row>
    <row r="53">
      <c r="A53" t="inlineStr">
        <is>
          <t>Contractor Signature: ________________________    Date: ____________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2026-03-09T20:37:08Z</dcterms:created>
  <dcterms:modified xmlns:dcterms="http://purl.org/dc/terms/" xmlns:xsi="http://www.w3.org/2001/XMLSchema-instance" xsi:type="dcterms:W3CDTF">2026-03-09T20:37:08Z</dcterms:modified>
</cp:coreProperties>
</file>