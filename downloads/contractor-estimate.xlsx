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stimate" sheetId="2" state="visible" r:id="rId2"/>
  </sheets>
  <definedNames>
    <definedName name="_xlnm.Print_Area" localSheetId="1">'Estimate'!$A$1:$E$60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3">
    <font>
      <name val="Calibri"/>
      <family val="2"/>
      <color theme="1"/>
      <sz val="11"/>
      <scheme val="minor"/>
    </font>
    <font>
      <name val="Calibri"/>
      <b val="1"/>
      <color rgb="00F97316"/>
      <sz val="28"/>
    </font>
    <font>
      <name val="Calibri"/>
      <b val="1"/>
      <sz val="14"/>
    </font>
    <font>
      <name val="Calibri"/>
      <color rgb="00333333"/>
      <sz val="11"/>
    </font>
    <font>
      <name val="Calibri"/>
      <color rgb="00666666"/>
      <sz val="9"/>
    </font>
    <font>
      <name val="Calibri"/>
      <b val="1"/>
      <color rgb="00333333"/>
      <sz val="11"/>
    </font>
    <font>
      <name val="Calibri"/>
      <b val="1"/>
      <color rgb="00F97316"/>
    </font>
    <font>
      <name val="Calibri"/>
      <b val="1"/>
      <sz val="11"/>
    </font>
    <font>
      <name val="Calibri"/>
      <b val="1"/>
      <color rgb="00F97316"/>
      <sz val="13"/>
    </font>
    <font>
      <name val="Calibri"/>
      <b val="1"/>
      <color rgb="00FFFFFF"/>
      <sz val="11"/>
    </font>
    <font>
      <name val="Calibri"/>
      <b val="1"/>
      <color rgb="00F97316"/>
      <sz val="14"/>
    </font>
    <font>
      <name val="Calibri"/>
      <b val="1"/>
      <color rgb="00F97316"/>
      <sz val="12"/>
    </font>
    <font>
      <name val="Calibri"/>
      <b val="1"/>
      <color rgb="00F97316"/>
      <sz val="20"/>
    </font>
  </fonts>
  <fills count="5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AFC"/>
        <bgColor rgb="00F8FAFC"/>
      </patternFill>
    </fill>
    <fill>
      <patternFill patternType="solid">
        <fgColor rgb="00FFF7ED"/>
        <bgColor rgb="00FFF7ED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164" fontId="3" fillId="3" borderId="1" pivotButton="0" quotePrefix="0" xfId="0"/>
    <xf numFmtId="0" fontId="3" fillId="3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164" fontId="3" fillId="0" borderId="1" pivotButton="0" quotePrefix="0" xfId="0"/>
    <xf numFmtId="0" fontId="3" fillId="0" borderId="1" pivotButton="0" quotePrefix="0" xfId="0"/>
    <xf numFmtId="0" fontId="5" fillId="0" borderId="0" applyAlignment="1" pivotButton="0" quotePrefix="0" xfId="0">
      <alignment horizontal="right" vertical="center"/>
    </xf>
    <xf numFmtId="164" fontId="7" fillId="0" borderId="0" pivotButton="0" quotePrefix="0" xfId="0"/>
    <xf numFmtId="164" fontId="3" fillId="0" borderId="0" pivotButton="0" quotePrefix="0" xfId="0"/>
    <xf numFmtId="0" fontId="8" fillId="0" borderId="0" applyAlignment="1" pivotButton="0" quotePrefix="0" xfId="0">
      <alignment horizontal="right" vertical="center"/>
    </xf>
    <xf numFmtId="164" fontId="10" fillId="4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📋 Estimate &amp; Bid Template — Instructions</t>
        </is>
      </c>
    </row>
    <row r="2">
      <c r="A2" s="2" t="inlineStr">
        <is>
          <t>BuiltRight Academy | builtrighthq.com</t>
        </is>
      </c>
    </row>
    <row r="3">
      <c r="A3" s="3" t="inlineStr"/>
    </row>
    <row r="4" ht="30" customHeight="1">
      <c r="A4" s="4" t="inlineStr">
        <is>
          <t>— HOW TO USE THIS TEMPLATE —</t>
        </is>
      </c>
    </row>
    <row r="5" ht="22" customHeight="1">
      <c r="A5" s="4" t="inlineStr"/>
    </row>
    <row r="6" ht="22" customHeight="1">
      <c r="A6" s="4" t="inlineStr">
        <is>
          <t>1. Replace [BRACKETED TEXT] with your company info.</t>
        </is>
      </c>
    </row>
    <row r="7" ht="22" customHeight="1">
      <c r="A7" s="4" t="inlineStr">
        <is>
          <t>2. Update the estimate number and dates.</t>
        </is>
      </c>
    </row>
    <row r="8" ht="22" customHeight="1">
      <c r="A8" s="4" t="inlineStr">
        <is>
          <t>3. Replace materials and labor items with your actual scope.</t>
        </is>
      </c>
    </row>
    <row r="9" ht="22" customHeight="1">
      <c r="A9" s="4" t="inlineStr">
        <is>
          <t>4. All totals calculate automatically via formulas.</t>
        </is>
      </c>
    </row>
    <row r="10" ht="22" customHeight="1">
      <c r="A10" s="4" t="inlineStr">
        <is>
          <t>5. Adjust markup % in the Project Summary section (default: 15%).</t>
        </is>
      </c>
    </row>
    <row r="11" ht="22" customHeight="1">
      <c r="A11" s="4" t="inlineStr">
        <is>
          <t>6. Adjust tax rate (default: 8.25%).</t>
        </is>
      </c>
    </row>
    <row r="12" ht="22" customHeight="1">
      <c r="A12" s="4" t="inlineStr">
        <is>
          <t>7. Customize terms &amp; conditions for your business.</t>
        </is>
      </c>
    </row>
    <row r="13" ht="22" customHeight="1">
      <c r="A13" s="4" t="inlineStr"/>
    </row>
    <row r="14" ht="30" customHeight="1">
      <c r="A14" s="4" t="inlineStr">
        <is>
          <t>— PRICING TIPS —</t>
        </is>
      </c>
    </row>
    <row r="15" ht="22" customHeight="1">
      <c r="A15" s="4" t="inlineStr"/>
    </row>
    <row r="16" ht="22" customHeight="1">
      <c r="A16" s="4" t="inlineStr">
        <is>
          <t>• Always include a line item for permits — forgetting this kills margins.</t>
        </is>
      </c>
    </row>
    <row r="17" ht="22" customHeight="1">
      <c r="A17" s="4" t="inlineStr">
        <is>
          <t>• Use "Miscellaneous supplies" as a catch-all (3-5% of materials).</t>
        </is>
      </c>
    </row>
    <row r="18" ht="22" customHeight="1">
      <c r="A18" s="4" t="inlineStr">
        <is>
          <t>• Markup should cover overhead: insurance, truck, tools, office, profit.</t>
        </is>
      </c>
    </row>
    <row r="19" ht="22" customHeight="1">
      <c r="A19" s="4" t="inlineStr">
        <is>
          <t>• 15-25% markup is standard for residential remodeling.</t>
        </is>
      </c>
    </row>
    <row r="20" ht="22" customHeight="1">
      <c r="A20" s="4" t="inlineStr">
        <is>
          <t>• Include "Unforeseen conditions" clause — it saves you from surprise costs.</t>
        </is>
      </c>
    </row>
    <row r="21" ht="22" customHeight="1">
      <c r="A21" s="4" t="inlineStr"/>
    </row>
    <row r="22" ht="22" customHeight="1">
      <c r="A22" s="4" t="inlineStr">
        <is>
          <t>© 2026 BuiltRight Academy | builtrighthq.com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8" customWidth="1" min="4" max="4"/>
    <col width="18" customWidth="1" min="5" max="5"/>
  </cols>
  <sheetData>
    <row r="1" ht="45" customHeight="1">
      <c r="A1" s="5" t="inlineStr">
        <is>
          <t>ESTIMATE</t>
        </is>
      </c>
    </row>
    <row r="3">
      <c r="A3" s="6" t="inlineStr">
        <is>
          <t>[YOUR COMPANY NAME]</t>
        </is>
      </c>
      <c r="D3" s="7" t="inlineStr">
        <is>
          <t>Estimate #:</t>
        </is>
      </c>
      <c r="E3" s="3" t="inlineStr">
        <is>
          <t>EST-2026-042</t>
        </is>
      </c>
    </row>
    <row r="4">
      <c r="A4" s="3" t="inlineStr">
        <is>
          <t>[Address] | [Phone] | [Email]</t>
        </is>
      </c>
      <c r="D4" s="7" t="inlineStr">
        <is>
          <t>Date:</t>
        </is>
      </c>
      <c r="E4" s="3" t="inlineStr">
        <is>
          <t>03/10/2026</t>
        </is>
      </c>
    </row>
    <row r="5">
      <c r="A5" s="2" t="inlineStr">
        <is>
          <t>License #: [Your License]</t>
        </is>
      </c>
      <c r="D5" s="7" t="inlineStr">
        <is>
          <t>Valid Until:</t>
        </is>
      </c>
      <c r="E5" s="3" t="inlineStr">
        <is>
          <t>04/09/2026</t>
        </is>
      </c>
    </row>
    <row r="7">
      <c r="A7" s="8" t="inlineStr">
        <is>
          <t>PREPARED FOR:</t>
        </is>
      </c>
      <c r="D7" s="8" t="inlineStr">
        <is>
          <t>PROJECT:</t>
        </is>
      </c>
    </row>
    <row r="8">
      <c r="A8" s="9" t="inlineStr">
        <is>
          <t>Robert &amp; Maria Garcia</t>
        </is>
      </c>
      <c r="D8" s="9" t="inlineStr">
        <is>
          <t>Master Bathroom Remodel</t>
        </is>
      </c>
    </row>
    <row r="9">
      <c r="A9" s="3" t="inlineStr">
        <is>
          <t>789 Maple Drive, Austin, TX 78704</t>
        </is>
      </c>
      <c r="D9" s="3" t="inlineStr">
        <is>
          <t>Timeline: 3-4 weeks</t>
        </is>
      </c>
    </row>
    <row r="10">
      <c r="A10" s="3" t="inlineStr">
        <is>
          <t>(512) 555-8901 | garcia.home@email.com</t>
        </is>
      </c>
    </row>
    <row r="12">
      <c r="A12" s="10" t="inlineStr">
        <is>
          <t>MATERIALS</t>
        </is>
      </c>
    </row>
    <row r="13">
      <c r="A13" s="11" t="inlineStr">
        <is>
          <t>Item</t>
        </is>
      </c>
      <c r="B13" s="11" t="inlineStr">
        <is>
          <t>Qty</t>
        </is>
      </c>
      <c r="C13" s="11" t="inlineStr">
        <is>
          <t>Unit Cost</t>
        </is>
      </c>
      <c r="D13" s="11" t="inlineStr">
        <is>
          <t>Total</t>
        </is>
      </c>
      <c r="E13" s="11" t="inlineStr"/>
    </row>
    <row r="14">
      <c r="A14" s="12" t="inlineStr">
        <is>
          <t>Porcelain tile — 12x24 matte (floor + shower)</t>
        </is>
      </c>
      <c r="B14" s="13" t="n">
        <v>85</v>
      </c>
      <c r="C14" s="14" t="n">
        <v>6.5</v>
      </c>
      <c r="D14" s="14">
        <f>B14*C14</f>
        <v/>
      </c>
      <c r="E14" s="15" t="n"/>
    </row>
    <row r="15">
      <c r="A15" s="16" t="inlineStr">
        <is>
          <t>Vanity — 60" double sink, solid wood</t>
        </is>
      </c>
      <c r="B15" s="17" t="n">
        <v>1</v>
      </c>
      <c r="C15" s="18" t="n">
        <v>1200</v>
      </c>
      <c r="D15" s="18">
        <f>B15*C15</f>
        <v/>
      </c>
      <c r="E15" s="19" t="n"/>
    </row>
    <row r="16">
      <c r="A16" s="12" t="inlineStr">
        <is>
          <t>Quartz countertop — 60" with undermount cutouts</t>
        </is>
      </c>
      <c r="B16" s="13" t="n">
        <v>1</v>
      </c>
      <c r="C16" s="14" t="n">
        <v>850</v>
      </c>
      <c r="D16" s="14">
        <f>B16*C16</f>
        <v/>
      </c>
      <c r="E16" s="15" t="n"/>
    </row>
    <row r="17">
      <c r="A17" s="16" t="inlineStr">
        <is>
          <t>Shower valve — Moen thermostatic rough-in kit</t>
        </is>
      </c>
      <c r="B17" s="17" t="n">
        <v>1</v>
      </c>
      <c r="C17" s="18" t="n">
        <v>285</v>
      </c>
      <c r="D17" s="18">
        <f>B17*C17</f>
        <v/>
      </c>
      <c r="E17" s="19" t="n"/>
    </row>
    <row r="18">
      <c r="A18" s="12" t="inlineStr">
        <is>
          <t>Tile backer board — 1/2" cement board (10 sheets)</t>
        </is>
      </c>
      <c r="B18" s="13" t="n">
        <v>10</v>
      </c>
      <c r="C18" s="14" t="n">
        <v>14</v>
      </c>
      <c r="D18" s="14">
        <f>B18*C18</f>
        <v/>
      </c>
      <c r="E18" s="15" t="n"/>
    </row>
    <row r="19">
      <c r="A19" s="16" t="inlineStr">
        <is>
          <t>Waterproofing membrane — Kerdi (200 sq ft roll)</t>
        </is>
      </c>
      <c r="B19" s="17" t="n">
        <v>1</v>
      </c>
      <c r="C19" s="18" t="n">
        <v>185</v>
      </c>
      <c r="D19" s="18">
        <f>B19*C19</f>
        <v/>
      </c>
      <c r="E19" s="19" t="n"/>
    </row>
    <row r="20">
      <c r="A20" s="12" t="inlineStr">
        <is>
          <t>Toilet — Toto Drake II elongated</t>
        </is>
      </c>
      <c r="B20" s="13" t="n">
        <v>1</v>
      </c>
      <c r="C20" s="14" t="n">
        <v>380</v>
      </c>
      <c r="D20" s="14">
        <f>B20*C20</f>
        <v/>
      </c>
      <c r="E20" s="15" t="n"/>
    </row>
    <row r="21">
      <c r="A21" s="16" t="inlineStr">
        <is>
          <t>Paint — Benjamin Moore Regal, 2 gal</t>
        </is>
      </c>
      <c r="B21" s="17" t="n">
        <v>2</v>
      </c>
      <c r="C21" s="18" t="n">
        <v>72</v>
      </c>
      <c r="D21" s="18">
        <f>B21*C21</f>
        <v/>
      </c>
      <c r="E21" s="19" t="n"/>
    </row>
    <row r="22">
      <c r="A22" s="12" t="inlineStr">
        <is>
          <t>Miscellaneous supplies (grout, thin-set, screws, caulk)</t>
        </is>
      </c>
      <c r="B22" s="13" t="n">
        <v>1</v>
      </c>
      <c r="C22" s="14" t="n">
        <v>175</v>
      </c>
      <c r="D22" s="14">
        <f>B22*C22</f>
        <v/>
      </c>
      <c r="E22" s="15" t="n"/>
    </row>
    <row r="23">
      <c r="C23" s="20" t="inlineStr">
        <is>
          <t>Materials Subtotal:</t>
        </is>
      </c>
      <c r="D23" s="21">
        <f>SUM(D14:D22)</f>
        <v/>
      </c>
    </row>
    <row r="25">
      <c r="A25" s="10" t="inlineStr">
        <is>
          <t>LABOR</t>
        </is>
      </c>
    </row>
    <row r="26">
      <c r="A26" s="11" t="inlineStr">
        <is>
          <t>Task</t>
        </is>
      </c>
      <c r="B26" s="11" t="inlineStr">
        <is>
          <t>Hours</t>
        </is>
      </c>
      <c r="C26" s="11" t="inlineStr">
        <is>
          <t>Rate/Hr</t>
        </is>
      </c>
      <c r="D26" s="11" t="inlineStr">
        <is>
          <t>Total</t>
        </is>
      </c>
      <c r="E26" s="11" t="inlineStr"/>
    </row>
    <row r="27">
      <c r="A27" s="12" t="inlineStr">
        <is>
          <t>Demolition &amp; haul-away</t>
        </is>
      </c>
      <c r="B27" s="13" t="n">
        <v>8</v>
      </c>
      <c r="C27" s="14" t="n">
        <v>65</v>
      </c>
      <c r="D27" s="14">
        <f>B27*C27</f>
        <v/>
      </c>
      <c r="E27" s="15" t="n"/>
    </row>
    <row r="28">
      <c r="A28" s="16" t="inlineStr">
        <is>
          <t>Plumbing rough-in</t>
        </is>
      </c>
      <c r="B28" s="17" t="n">
        <v>12</v>
      </c>
      <c r="C28" s="18" t="n">
        <v>85</v>
      </c>
      <c r="D28" s="18">
        <f>B28*C28</f>
        <v/>
      </c>
      <c r="E28" s="19" t="n"/>
    </row>
    <row r="29">
      <c r="A29" s="12" t="inlineStr">
        <is>
          <t>Electrical (GFCI outlets, exhaust fan)</t>
        </is>
      </c>
      <c r="B29" s="13" t="n">
        <v>6</v>
      </c>
      <c r="C29" s="14" t="n">
        <v>80</v>
      </c>
      <c r="D29" s="14">
        <f>B29*C29</f>
        <v/>
      </c>
      <c r="E29" s="15" t="n"/>
    </row>
    <row r="30">
      <c r="A30" s="16" t="inlineStr">
        <is>
          <t>Tile installation — floor &amp; shower</t>
        </is>
      </c>
      <c r="B30" s="17" t="n">
        <v>24</v>
      </c>
      <c r="C30" s="18" t="n">
        <v>75</v>
      </c>
      <c r="D30" s="18">
        <f>B30*C30</f>
        <v/>
      </c>
      <c r="E30" s="19" t="n"/>
    </row>
    <row r="31">
      <c r="A31" s="12" t="inlineStr">
        <is>
          <t>Vanity &amp; countertop install</t>
        </is>
      </c>
      <c r="B31" s="13" t="n">
        <v>6</v>
      </c>
      <c r="C31" s="14" t="n">
        <v>70</v>
      </c>
      <c r="D31" s="14">
        <f>B31*C31</f>
        <v/>
      </c>
      <c r="E31" s="15" t="n"/>
    </row>
    <row r="32">
      <c r="A32" s="16" t="inlineStr">
        <is>
          <t>Paint — walls &amp; ceiling, 2 coats</t>
        </is>
      </c>
      <c r="B32" s="17" t="n">
        <v>8</v>
      </c>
      <c r="C32" s="18" t="n">
        <v>55</v>
      </c>
      <c r="D32" s="18">
        <f>B32*C32</f>
        <v/>
      </c>
      <c r="E32" s="19" t="n"/>
    </row>
    <row r="33">
      <c r="A33" s="12" t="inlineStr">
        <is>
          <t>Trim, hardware &amp; final details</t>
        </is>
      </c>
      <c r="B33" s="13" t="n">
        <v>4</v>
      </c>
      <c r="C33" s="14" t="n">
        <v>65</v>
      </c>
      <c r="D33" s="14">
        <f>B33*C33</f>
        <v/>
      </c>
      <c r="E33" s="15" t="n"/>
    </row>
    <row r="34">
      <c r="C34" s="20" t="inlineStr">
        <is>
          <t>Labor Subtotal:</t>
        </is>
      </c>
      <c r="D34" s="21">
        <f>SUM(D27:D33)</f>
        <v/>
      </c>
    </row>
    <row r="36">
      <c r="A36" s="10" t="inlineStr">
        <is>
          <t>PROJECT SUMMARY</t>
        </is>
      </c>
    </row>
    <row r="37">
      <c r="C37" s="20" t="inlineStr">
        <is>
          <t>Materials:</t>
        </is>
      </c>
      <c r="D37" s="22">
        <f>D23</f>
        <v/>
      </c>
    </row>
    <row r="38">
      <c r="C38" s="20" t="inlineStr">
        <is>
          <t>Labor:</t>
        </is>
      </c>
      <c r="D38" s="22">
        <f>D34</f>
        <v/>
      </c>
    </row>
    <row r="39">
      <c r="C39" s="20" t="inlineStr">
        <is>
          <t>Subtotal:</t>
        </is>
      </c>
      <c r="D39" s="22">
        <f>D37+D38</f>
        <v/>
      </c>
    </row>
    <row r="40">
      <c r="C40" s="20" t="inlineStr">
        <is>
          <t>Markup (15%):</t>
        </is>
      </c>
      <c r="D40" s="22">
        <f>D39*0.15</f>
        <v/>
      </c>
    </row>
    <row r="41">
      <c r="C41" s="20" t="inlineStr">
        <is>
          <t>Tax (8.25%):</t>
        </is>
      </c>
      <c r="D41" s="22">
        <f>(D39+D40)*0.0825</f>
        <v/>
      </c>
    </row>
    <row r="42">
      <c r="C42" s="23" t="inlineStr">
        <is>
          <t>ESTIMATED TOTAL:</t>
        </is>
      </c>
      <c r="D42" s="24">
        <f>D39+D40+D41</f>
        <v/>
      </c>
    </row>
    <row r="44">
      <c r="A44" s="25" t="inlineStr">
        <is>
          <t>TERMS &amp; CONDITIONS</t>
        </is>
      </c>
    </row>
    <row r="45">
      <c r="A45" s="4" t="inlineStr">
        <is>
          <t>1. This estimate is valid for 30 days from the date above.</t>
        </is>
      </c>
    </row>
    <row r="46">
      <c r="A46" s="4" t="inlineStr">
        <is>
          <t>2. 50% deposit required before work begins. Balance due upon completion.</t>
        </is>
      </c>
    </row>
    <row r="47">
      <c r="A47" s="4" t="inlineStr">
        <is>
          <t>3. Any changes to the scope of work will be documented via Change Order.</t>
        </is>
      </c>
    </row>
    <row r="48">
      <c r="A48" s="4" t="inlineStr">
        <is>
          <t>4. Unforeseen conditions (rot, mold, code issues) may result in additional charges.</t>
        </is>
      </c>
    </row>
    <row r="49">
      <c r="A49" s="4" t="inlineStr">
        <is>
          <t>5. All work warranted for 1 year. Manufacturer warranties apply to materials.</t>
        </is>
      </c>
    </row>
    <row r="50">
      <c r="A50" s="4" t="inlineStr">
        <is>
          <t>6. Contractor is licensed, bonded, and insured.</t>
        </is>
      </c>
    </row>
    <row r="53">
      <c r="A53" s="25" t="inlineStr">
        <is>
          <t>ACCEPTANCE</t>
        </is>
      </c>
    </row>
    <row r="54">
      <c r="A54" s="3" t="inlineStr">
        <is>
          <t>By signing below, you accept this estimate and authorize work to begin.</t>
        </is>
      </c>
    </row>
    <row r="56">
      <c r="A56" s="3" t="inlineStr">
        <is>
          <t>Client Signature: ___________________________</t>
        </is>
      </c>
      <c r="C56" s="3" t="inlineStr">
        <is>
          <t>Date: ____________</t>
        </is>
      </c>
    </row>
    <row r="58">
      <c r="A58" s="3" t="inlineStr">
        <is>
          <t>Contractor Signature: ________________________</t>
        </is>
      </c>
      <c r="C58" s="3" t="inlineStr">
        <is>
          <t>Date: ____________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2026-03-10T13:34:41Z</dcterms:created>
  <dcterms:modified xmlns:dcterms="http://purl.org/dc/terms/" xmlns:xsi="http://www.w3.org/2001/XMLSchema-instance" xsi:type="dcterms:W3CDTF">2026-03-10T13:34:41Z</dcterms:modified>
</cp:coreProperties>
</file>