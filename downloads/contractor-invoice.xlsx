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'Invoice'!$A$1:$D$46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97316"/>
      <sz val="24"/>
    </font>
    <font>
      <b val="1"/>
      <sz val="14"/>
    </font>
    <font>
      <name val="Calibri"/>
      <b val="1"/>
      <color rgb="00333333"/>
      <sz val="11"/>
    </font>
    <font>
      <b val="1"/>
      <color rgb="00F97316"/>
      <sz val="12"/>
    </font>
    <font>
      <name val="Calibri"/>
      <b val="1"/>
      <color rgb="00FFFFFF"/>
      <sz val="11"/>
    </font>
    <font>
      <name val="Calibri"/>
      <sz val="11"/>
    </font>
    <font>
      <b val="1"/>
      <color rgb="00F97316"/>
      <sz val="13"/>
    </font>
  </fonts>
  <fills count="4">
    <fill>
      <patternFill/>
    </fill>
    <fill>
      <patternFill patternType="gray125"/>
    </fill>
    <fill>
      <patternFill patternType="solid">
        <fgColor rgb="00F97316"/>
        <bgColor rgb="00F97316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164" fontId="6" fillId="0" borderId="1" pivotButton="0" quotePrefix="0" xfId="0"/>
    <xf numFmtId="0" fontId="6" fillId="3" borderId="1" pivotButton="0" quotePrefix="0" xfId="0"/>
    <xf numFmtId="0" fontId="6" fillId="3" borderId="1" applyAlignment="1" pivotButton="0" quotePrefix="0" xfId="0">
      <alignment horizontal="center"/>
    </xf>
    <xf numFmtId="164" fontId="6" fillId="3" borderId="1" pivotButton="0" quotePrefix="0" xfId="0"/>
    <xf numFmtId="164" fontId="3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45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8" customWidth="1" min="4" max="4"/>
  </cols>
  <sheetData>
    <row r="1">
      <c r="A1" s="1" t="inlineStr">
        <is>
          <t>INVOICE</t>
        </is>
      </c>
    </row>
    <row r="3">
      <c r="A3" s="2" t="inlineStr">
        <is>
          <t>YOUR COMPANY NAME</t>
        </is>
      </c>
      <c r="C3" s="3" t="inlineStr">
        <is>
          <t>Invoice #:</t>
        </is>
      </c>
      <c r="D3" t="inlineStr">
        <is>
          <t>INV-2026-001</t>
        </is>
      </c>
    </row>
    <row r="4">
      <c r="A4" t="inlineStr">
        <is>
          <t>123 Main Street, Suite 100</t>
        </is>
      </c>
      <c r="C4" s="3" t="inlineStr">
        <is>
          <t>Date:</t>
        </is>
      </c>
      <c r="D4" t="inlineStr">
        <is>
          <t>03/09/2026</t>
        </is>
      </c>
    </row>
    <row r="5">
      <c r="A5" t="inlineStr">
        <is>
          <t>Your City, ST 12345</t>
        </is>
      </c>
      <c r="C5" s="3" t="inlineStr">
        <is>
          <t>Due Date:</t>
        </is>
      </c>
      <c r="D5" t="inlineStr">
        <is>
          <t>04/08/2026</t>
        </is>
      </c>
    </row>
    <row r="6">
      <c r="A6" t="inlineStr">
        <is>
          <t>Phone: (555) 123-4567</t>
        </is>
      </c>
    </row>
    <row r="7">
      <c r="A7" t="inlineStr">
        <is>
          <t>Email: info@yourcompany.com</t>
        </is>
      </c>
    </row>
    <row r="9">
      <c r="A9" s="4" t="inlineStr">
        <is>
          <t>BILL TO:</t>
        </is>
      </c>
    </row>
    <row r="10">
      <c r="A10" t="inlineStr">
        <is>
          <t>John &amp; Sarah Mitchell</t>
        </is>
      </c>
    </row>
    <row r="11">
      <c r="A11" t="inlineStr">
        <is>
          <t>456 Oak Avenue</t>
        </is>
      </c>
    </row>
    <row r="12">
      <c r="A12" t="inlineStr">
        <is>
          <t>Springfield, IL 62704</t>
        </is>
      </c>
    </row>
    <row r="13">
      <c r="A13" t="inlineStr">
        <is>
          <t>Phone: (555) 987-6543</t>
        </is>
      </c>
    </row>
    <row r="14">
      <c r="A14" t="inlineStr">
        <is>
          <t>Email: mitchell.family@email.com</t>
        </is>
      </c>
    </row>
    <row r="16">
      <c r="A16" s="5" t="inlineStr">
        <is>
          <t>Description</t>
        </is>
      </c>
      <c r="B16" s="5" t="inlineStr">
        <is>
          <t>Qty</t>
        </is>
      </c>
      <c r="C16" s="5" t="inlineStr">
        <is>
          <t>Unit Price</t>
        </is>
      </c>
      <c r="D16" s="5" t="inlineStr">
        <is>
          <t>Total</t>
        </is>
      </c>
    </row>
    <row r="17">
      <c r="A17" s="6" t="inlineStr">
        <is>
          <t>Demo - Remove existing cabinets &amp; countertops</t>
        </is>
      </c>
      <c r="B17" s="7" t="n">
        <v>1</v>
      </c>
      <c r="C17" s="8" t="n">
        <v>450</v>
      </c>
      <c r="D17" s="8">
        <f>B17*C17</f>
        <v/>
      </c>
    </row>
    <row r="18">
      <c r="A18" s="9" t="inlineStr">
        <is>
          <t>Haul-away &amp; dumpster rental (20 yd)</t>
        </is>
      </c>
      <c r="B18" s="10" t="n">
        <v>1</v>
      </c>
      <c r="C18" s="11" t="n">
        <v>375</v>
      </c>
      <c r="D18" s="11">
        <f>B18*C18</f>
        <v/>
      </c>
    </row>
    <row r="19">
      <c r="A19" s="6" t="inlineStr">
        <is>
          <t>Install new cabinets (12 linear ft)</t>
        </is>
      </c>
      <c r="B19" s="7" t="n">
        <v>12</v>
      </c>
      <c r="C19" s="8" t="n">
        <v>185</v>
      </c>
      <c r="D19" s="8">
        <f>B19*C19</f>
        <v/>
      </c>
    </row>
    <row r="20">
      <c r="A20" s="9" t="inlineStr">
        <is>
          <t>Countertop - Quartz fabrication &amp; install</t>
        </is>
      </c>
      <c r="B20" s="10" t="n">
        <v>1</v>
      </c>
      <c r="C20" s="11" t="n">
        <v>3200</v>
      </c>
      <c r="D20" s="11">
        <f>B20*C20</f>
        <v/>
      </c>
    </row>
    <row r="21">
      <c r="A21" s="6" t="inlineStr">
        <is>
          <t>Plumbing rough-in (sink relocation)</t>
        </is>
      </c>
      <c r="B21" s="7" t="n">
        <v>1</v>
      </c>
      <c r="C21" s="8" t="n">
        <v>850</v>
      </c>
      <c r="D21" s="8">
        <f>B21*C21</f>
        <v/>
      </c>
    </row>
    <row r="22">
      <c r="A22" s="9" t="inlineStr">
        <is>
          <t>Electrical - Add 3 under-cabinet outlets</t>
        </is>
      </c>
      <c r="B22" s="10" t="n">
        <v>3</v>
      </c>
      <c r="C22" s="11" t="n">
        <v>175</v>
      </c>
      <c r="D22" s="11">
        <f>B22*C22</f>
        <v/>
      </c>
    </row>
    <row r="23">
      <c r="A23" s="6" t="inlineStr">
        <is>
          <t>Tile backsplash - 30 sq ft subway tile</t>
        </is>
      </c>
      <c r="B23" s="7" t="n">
        <v>30</v>
      </c>
      <c r="C23" s="8" t="n">
        <v>18</v>
      </c>
      <c r="D23" s="8">
        <f>B23*C23</f>
        <v/>
      </c>
    </row>
    <row r="24">
      <c r="A24" s="9" t="inlineStr">
        <is>
          <t>Backsplash labor - install</t>
        </is>
      </c>
      <c r="B24" s="10" t="n">
        <v>1</v>
      </c>
      <c r="C24" s="11" t="n">
        <v>480</v>
      </c>
      <c r="D24" s="11">
        <f>B24*C24</f>
        <v/>
      </c>
    </row>
    <row r="25">
      <c r="A25" s="6" t="inlineStr">
        <is>
          <t>Paint - Kitchen walls &amp; ceiling (250 sq ft)</t>
        </is>
      </c>
      <c r="B25" s="7" t="n">
        <v>1</v>
      </c>
      <c r="C25" s="8" t="n">
        <v>650</v>
      </c>
      <c r="D25" s="8">
        <f>B25*C25</f>
        <v/>
      </c>
    </row>
    <row r="26">
      <c r="A26" s="9" t="inlineStr">
        <is>
          <t>New sink + faucet install</t>
        </is>
      </c>
      <c r="B26" s="10" t="n">
        <v>1</v>
      </c>
      <c r="C26" s="11" t="n">
        <v>425</v>
      </c>
      <c r="D26" s="11">
        <f>B26*C26</f>
        <v/>
      </c>
    </row>
    <row r="27">
      <c r="A27" s="6" t="inlineStr">
        <is>
          <t>Lighting - 4 recessed LED can lights</t>
        </is>
      </c>
      <c r="B27" s="7" t="n">
        <v>4</v>
      </c>
      <c r="C27" s="8" t="n">
        <v>95</v>
      </c>
      <c r="D27" s="8">
        <f>B27*C27</f>
        <v/>
      </c>
    </row>
    <row r="28">
      <c r="A28" s="9" t="inlineStr">
        <is>
          <t>Trim &amp; molding - crown molding install</t>
        </is>
      </c>
      <c r="B28" s="10" t="n">
        <v>1</v>
      </c>
      <c r="C28" s="11" t="n">
        <v>380</v>
      </c>
      <c r="D28" s="11">
        <f>B28*C28</f>
        <v/>
      </c>
    </row>
    <row r="29">
      <c r="A29" s="6" t="inlineStr">
        <is>
          <t>Hardware - Cabinet pulls &amp; knobs (24 pc)</t>
        </is>
      </c>
      <c r="B29" s="7" t="n">
        <v>24</v>
      </c>
      <c r="C29" s="8" t="n">
        <v>12</v>
      </c>
      <c r="D29" s="8">
        <f>B29*C29</f>
        <v/>
      </c>
    </row>
    <row r="30">
      <c r="A30" s="9" t="inlineStr">
        <is>
          <t>Final clean-up &amp; debris removal</t>
        </is>
      </c>
      <c r="B30" s="10" t="n">
        <v>1</v>
      </c>
      <c r="C30" s="11" t="n">
        <v>200</v>
      </c>
      <c r="D30" s="11">
        <f>B30*C30</f>
        <v/>
      </c>
    </row>
    <row r="31">
      <c r="A31" s="6" t="inlineStr">
        <is>
          <t>Permit filing fee</t>
        </is>
      </c>
      <c r="B31" s="7" t="n">
        <v>1</v>
      </c>
      <c r="C31" s="8" t="n">
        <v>150</v>
      </c>
      <c r="D31" s="8">
        <f>B31*C31</f>
        <v/>
      </c>
    </row>
    <row r="33">
      <c r="C33" s="3" t="inlineStr">
        <is>
          <t>Subtotal:</t>
        </is>
      </c>
      <c r="D33" s="12">
        <f>SUM(D17:D31)</f>
        <v/>
      </c>
    </row>
    <row r="34">
      <c r="C34" s="3" t="inlineStr">
        <is>
          <t>Tax Rate:</t>
        </is>
      </c>
      <c r="D34" s="13" t="n">
        <v>0.0825</v>
      </c>
    </row>
    <row r="35">
      <c r="C35" s="3" t="inlineStr">
        <is>
          <t>Tax Amount:</t>
        </is>
      </c>
      <c r="D35" s="14">
        <f>D33*D34</f>
        <v/>
      </c>
    </row>
    <row r="36">
      <c r="C36" s="15" t="inlineStr">
        <is>
          <t>GRAND TOTAL:</t>
        </is>
      </c>
      <c r="D36" s="16">
        <f>D33+D35</f>
        <v/>
      </c>
    </row>
    <row r="38">
      <c r="A38" s="4" t="inlineStr">
        <is>
          <t>PAYMENT TERMS</t>
        </is>
      </c>
    </row>
    <row r="39">
      <c r="A39" t="inlineStr">
        <is>
          <t>• Payment due within 30 days of invoice date</t>
        </is>
      </c>
    </row>
    <row r="40">
      <c r="A40" t="inlineStr">
        <is>
          <t>• Late payments subject to 1.5% monthly interest</t>
        </is>
      </c>
    </row>
    <row r="41">
      <c r="A41" t="inlineStr">
        <is>
          <t>• Make checks payable to: YOUR COMPANY NAME</t>
        </is>
      </c>
    </row>
    <row r="42">
      <c r="A42" t="inlineStr">
        <is>
          <t>• Accepted: Check, Zelle, Venmo, Credit Card (+3% processing fee)</t>
        </is>
      </c>
    </row>
    <row r="44">
      <c r="A44" s="4" t="inlineStr">
        <is>
          <t>NOTES</t>
        </is>
      </c>
    </row>
    <row r="45">
      <c r="A45" t="inlineStr">
        <is>
          <t>Thank you for choosing our services. Please contact us with any questions.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2026-03-09T20:37:08Z</dcterms:created>
  <dcterms:modified xmlns:dcterms="http://purl.org/dc/terms/" xmlns:xsi="http://www.w3.org/2001/XMLSchema-instance" xsi:type="dcterms:W3CDTF">2026-03-09T20:37:08Z</dcterms:modified>
</cp:coreProperties>
</file>