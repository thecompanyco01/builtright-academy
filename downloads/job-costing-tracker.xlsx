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ob Co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F97316"/>
      <sz val="24"/>
    </font>
    <font>
      <name val="Calibri"/>
      <b val="1"/>
      <color rgb="00333333"/>
      <sz val="11"/>
    </font>
    <font>
      <name val="Calibri"/>
      <b val="1"/>
      <sz val="12"/>
    </font>
    <font>
      <name val="Calibri"/>
      <color rgb="00333333"/>
      <sz val="11"/>
    </font>
    <font>
      <name val="Calibri"/>
      <b val="1"/>
      <color rgb="0022C55E"/>
      <sz val="12"/>
    </font>
    <font>
      <name val="Calibri"/>
      <b val="1"/>
      <color rgb="00FFFFFF"/>
      <sz val="11"/>
    </font>
    <font>
      <name val="Calibri"/>
      <b val="1"/>
      <color rgb="00F97316"/>
      <sz val="12"/>
    </font>
    <font>
      <name val="Calibri"/>
      <b val="1"/>
      <color rgb="00EF4444"/>
      <sz val="12"/>
    </font>
    <font>
      <name val="Calibri"/>
      <b val="1"/>
      <color rgb="00F97316"/>
      <sz val="13"/>
    </font>
    <font>
      <name val="Calibri"/>
      <b val="1"/>
      <color rgb="0022C55E"/>
      <sz val="14"/>
    </font>
    <font>
      <name val="Calibri"/>
      <b val="1"/>
      <color rgb="00F97316"/>
      <sz val="20"/>
    </font>
    <font>
      <name val="Calibr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164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8" fillId="4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10" fillId="5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Job Costing Tracker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HOW TO USE THIS TEMPLATE —</t>
        </is>
      </c>
    </row>
    <row r="5" ht="22" customHeight="1">
      <c r="A5" s="4" t="inlineStr"/>
    </row>
    <row r="6" ht="22" customHeight="1">
      <c r="A6" s="4" t="inlineStr">
        <is>
          <t>1. Update job info at the top (name, client, dates).</t>
        </is>
      </c>
    </row>
    <row r="7" ht="22" customHeight="1">
      <c r="A7" s="4" t="inlineStr">
        <is>
          <t>2. Replace example line items with your actual job costs.</t>
        </is>
      </c>
    </row>
    <row r="8" ht="22" customHeight="1">
      <c r="A8" s="4" t="inlineStr">
        <is>
          <t>3. Enter estimated costs BEFORE the job starts.</t>
        </is>
      </c>
    </row>
    <row r="9" ht="22" customHeight="1">
      <c r="A9" s="4" t="inlineStr">
        <is>
          <t>4. Update actual costs AS expenses come in.</t>
        </is>
      </c>
    </row>
    <row r="10" ht="22" customHeight="1">
      <c r="A10" s="4" t="inlineStr">
        <is>
          <t>5. Variance and Status columns update automatically.</t>
        </is>
      </c>
    </row>
    <row r="11" ht="22" customHeight="1">
      <c r="A11" s="4" t="inlineStr">
        <is>
          <t>6. Enter your contract price in Profit Analysis to see net profit.</t>
        </is>
      </c>
    </row>
    <row r="12" ht="22" customHeight="1">
      <c r="A12" s="4" t="inlineStr"/>
    </row>
    <row r="13" ht="30" customHeight="1">
      <c r="A13" s="4" t="inlineStr">
        <is>
          <t>— WHY JOB COSTING MATTERS —</t>
        </is>
      </c>
    </row>
    <row r="14" ht="22" customHeight="1">
      <c r="A14" s="4" t="inlineStr"/>
    </row>
    <row r="15" ht="22" customHeight="1">
      <c r="A15" s="4" t="inlineStr">
        <is>
          <t>• Most contractors think they make money on every job. They don't.</t>
        </is>
      </c>
    </row>
    <row r="16" ht="22" customHeight="1">
      <c r="A16" s="4" t="inlineStr">
        <is>
          <t>• Job costing reveals which job TYPES are profitable and which aren't.</t>
        </is>
      </c>
    </row>
    <row r="17" ht="22" customHeight="1">
      <c r="A17" s="4" t="inlineStr">
        <is>
          <t>• Track every job for 3 months — you'll find at least one service you're losing money on.</t>
        </is>
      </c>
    </row>
    <row r="18" ht="22" customHeight="1">
      <c r="A18" s="4" t="inlineStr">
        <is>
          <t>• Use this data to adjust pricing on your next estimate.</t>
        </is>
      </c>
    </row>
    <row r="19" ht="22" customHeight="1">
      <c r="A19" s="4" t="inlineStr"/>
    </row>
    <row r="20" ht="22" customHeight="1">
      <c r="A20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40" customHeight="1">
      <c r="A1" s="5" t="inlineStr">
        <is>
          <t>JOB COSTING TRACKER</t>
        </is>
      </c>
    </row>
    <row r="3">
      <c r="A3" s="6" t="inlineStr">
        <is>
          <t>Job Name:</t>
        </is>
      </c>
      <c r="B3" s="7" t="inlineStr">
        <is>
          <t>Miller Kitchen &amp; Bath Remodel</t>
        </is>
      </c>
      <c r="D3" s="6" t="inlineStr">
        <is>
          <t>Estimated Total:</t>
        </is>
      </c>
      <c r="E3" s="8">
        <f>C42</f>
        <v/>
      </c>
    </row>
    <row r="4">
      <c r="A4" s="6" t="inlineStr">
        <is>
          <t>Client:</t>
        </is>
      </c>
      <c r="B4" s="3" t="inlineStr">
        <is>
          <t>David &amp; Lisa Miller</t>
        </is>
      </c>
      <c r="D4" s="6" t="inlineStr">
        <is>
          <t>Actual Total:</t>
        </is>
      </c>
      <c r="E4" s="9">
        <f>D42</f>
        <v/>
      </c>
    </row>
    <row r="5">
      <c r="A5" s="6" t="inlineStr">
        <is>
          <t>Start Date:</t>
        </is>
      </c>
      <c r="B5" s="3" t="inlineStr">
        <is>
          <t>02/15/2026</t>
        </is>
      </c>
      <c r="D5" s="6" t="inlineStr">
        <is>
          <t>Profit/Loss:</t>
        </is>
      </c>
      <c r="E5" s="10">
        <f>C42-D42</f>
        <v/>
      </c>
    </row>
    <row r="7">
      <c r="A7" s="11" t="inlineStr">
        <is>
          <t>Category</t>
        </is>
      </c>
      <c r="B7" s="11" t="inlineStr">
        <is>
          <t>Description</t>
        </is>
      </c>
      <c r="C7" s="11" t="inlineStr">
        <is>
          <t>Estimated</t>
        </is>
      </c>
      <c r="D7" s="11" t="inlineStr">
        <is>
          <t>Actual</t>
        </is>
      </c>
      <c r="E7" s="11" t="inlineStr">
        <is>
          <t>Variance</t>
        </is>
      </c>
      <c r="F7" s="11" t="inlineStr">
        <is>
          <t>Status</t>
        </is>
      </c>
    </row>
    <row r="8">
      <c r="A8" s="12" t="inlineStr">
        <is>
          <t>Materials</t>
        </is>
      </c>
      <c r="B8" s="13" t="inlineStr">
        <is>
          <t>Cabinets — 12 LF uppers + lowers</t>
        </is>
      </c>
      <c r="C8" s="14" t="n">
        <v>4200</v>
      </c>
      <c r="D8" s="14" t="n">
        <v>4350</v>
      </c>
      <c r="E8" s="14">
        <f>D8-C8</f>
        <v/>
      </c>
      <c r="F8" s="15">
        <f>IF(E8&gt;0,"Over ⚠️",IF(E8&lt;0,"Under ✅","On Budget"))</f>
        <v/>
      </c>
    </row>
    <row r="9">
      <c r="A9" s="16" t="inlineStr">
        <is>
          <t>Materials</t>
        </is>
      </c>
      <c r="B9" s="17" t="inlineStr">
        <is>
          <t>Countertops — Quartz 60"</t>
        </is>
      </c>
      <c r="C9" s="18" t="n">
        <v>3200</v>
      </c>
      <c r="D9" s="18" t="n">
        <v>3200</v>
      </c>
      <c r="E9" s="18">
        <f>D9-C9</f>
        <v/>
      </c>
      <c r="F9" s="19">
        <f>IF(E9&gt;0,"Over ⚠️",IF(E9&lt;0,"Under ✅","On Budget"))</f>
        <v/>
      </c>
    </row>
    <row r="10">
      <c r="A10" s="12" t="inlineStr">
        <is>
          <t>Materials</t>
        </is>
      </c>
      <c r="B10" s="13" t="inlineStr">
        <is>
          <t>Tile — Porcelain floor + backsplash</t>
        </is>
      </c>
      <c r="C10" s="14" t="n">
        <v>680</v>
      </c>
      <c r="D10" s="14" t="n">
        <v>720</v>
      </c>
      <c r="E10" s="14">
        <f>D10-C10</f>
        <v/>
      </c>
      <c r="F10" s="15">
        <f>IF(E10&gt;0,"Over ⚠️",IF(E10&lt;0,"Under ✅","On Budget"))</f>
        <v/>
      </c>
    </row>
    <row r="11">
      <c r="A11" s="16" t="inlineStr">
        <is>
          <t>Materials</t>
        </is>
      </c>
      <c r="B11" s="17" t="inlineStr">
        <is>
          <t>Plumbing fixtures — Sink, faucet, disposal</t>
        </is>
      </c>
      <c r="C11" s="18" t="n">
        <v>850</v>
      </c>
      <c r="D11" s="18" t="n">
        <v>890</v>
      </c>
      <c r="E11" s="18">
        <f>D11-C11</f>
        <v/>
      </c>
      <c r="F11" s="19">
        <f>IF(E11&gt;0,"Over ⚠️",IF(E11&lt;0,"Under ✅","On Budget"))</f>
        <v/>
      </c>
    </row>
    <row r="12">
      <c r="A12" s="12" t="inlineStr">
        <is>
          <t>Materials</t>
        </is>
      </c>
      <c r="B12" s="13" t="inlineStr">
        <is>
          <t>Electrical supplies — Wire, outlets, switches</t>
        </is>
      </c>
      <c r="C12" s="14" t="n">
        <v>340</v>
      </c>
      <c r="D12" s="14" t="n">
        <v>310</v>
      </c>
      <c r="E12" s="14">
        <f>D12-C12</f>
        <v/>
      </c>
      <c r="F12" s="15">
        <f>IF(E12&gt;0,"Over ⚠️",IF(E12&lt;0,"Under ✅","On Budget"))</f>
        <v/>
      </c>
    </row>
    <row r="13">
      <c r="A13" s="16" t="inlineStr">
        <is>
          <t>Materials</t>
        </is>
      </c>
      <c r="B13" s="17" t="inlineStr">
        <is>
          <t>Paint — 4 gal interior + primer</t>
        </is>
      </c>
      <c r="C13" s="18" t="n">
        <v>280</v>
      </c>
      <c r="D13" s="18" t="n">
        <v>295</v>
      </c>
      <c r="E13" s="18">
        <f>D13-C13</f>
        <v/>
      </c>
      <c r="F13" s="19">
        <f>IF(E13&gt;0,"Over ⚠️",IF(E13&lt;0,"Under ✅","On Budget"))</f>
        <v/>
      </c>
    </row>
    <row r="14">
      <c r="A14" s="12" t="inlineStr">
        <is>
          <t>Materials</t>
        </is>
      </c>
      <c r="B14" s="13" t="inlineStr">
        <is>
          <t>Hardware — Pulls, knobs, hinges</t>
        </is>
      </c>
      <c r="C14" s="14" t="n">
        <v>420</v>
      </c>
      <c r="D14" s="14" t="n">
        <v>420</v>
      </c>
      <c r="E14" s="14">
        <f>D14-C14</f>
        <v/>
      </c>
      <c r="F14" s="15">
        <f>IF(E14&gt;0,"Over ⚠️",IF(E14&lt;0,"Under ✅","On Budget"))</f>
        <v/>
      </c>
    </row>
    <row r="15">
      <c r="A15" s="16" t="inlineStr">
        <is>
          <t>Materials</t>
        </is>
      </c>
      <c r="B15" s="17" t="inlineStr">
        <is>
          <t>Miscellaneous — Adhesive, caulk, screws</t>
        </is>
      </c>
      <c r="C15" s="18" t="n">
        <v>175</v>
      </c>
      <c r="D15" s="18" t="n">
        <v>210</v>
      </c>
      <c r="E15" s="18">
        <f>D15-C15</f>
        <v/>
      </c>
      <c r="F15" s="19">
        <f>IF(E15&gt;0,"Over ⚠️",IF(E15&lt;0,"Under ✅","On Budget"))</f>
        <v/>
      </c>
    </row>
    <row r="16">
      <c r="A16" s="12" t="inlineStr">
        <is>
          <t>Labor</t>
        </is>
      </c>
      <c r="B16" s="13" t="inlineStr">
        <is>
          <t>Demo crew — 2 workers × 8 hrs</t>
        </is>
      </c>
      <c r="C16" s="14" t="n">
        <v>960</v>
      </c>
      <c r="D16" s="14" t="n">
        <v>1040</v>
      </c>
      <c r="E16" s="14">
        <f>D16-C16</f>
        <v/>
      </c>
      <c r="F16" s="15">
        <f>IF(E16&gt;0,"Over ⚠️",IF(E16&lt;0,"Under ✅","On Budget"))</f>
        <v/>
      </c>
    </row>
    <row r="17">
      <c r="A17" s="16" t="inlineStr">
        <is>
          <t>Labor</t>
        </is>
      </c>
      <c r="B17" s="17" t="inlineStr">
        <is>
          <t>Plumber — Rough-in + finish</t>
        </is>
      </c>
      <c r="C17" s="18" t="n">
        <v>1700</v>
      </c>
      <c r="D17" s="18" t="n">
        <v>1850</v>
      </c>
      <c r="E17" s="18">
        <f>D17-C17</f>
        <v/>
      </c>
      <c r="F17" s="19">
        <f>IF(E17&gt;0,"Over ⚠️",IF(E17&lt;0,"Under ✅","On Budget"))</f>
        <v/>
      </c>
    </row>
    <row r="18">
      <c r="A18" s="12" t="inlineStr">
        <is>
          <t>Labor</t>
        </is>
      </c>
      <c r="B18" s="13" t="inlineStr">
        <is>
          <t>Electrician — Panel, outlets, lights</t>
        </is>
      </c>
      <c r="C18" s="14" t="n">
        <v>960</v>
      </c>
      <c r="D18" s="14" t="n">
        <v>960</v>
      </c>
      <c r="E18" s="14">
        <f>D18-C18</f>
        <v/>
      </c>
      <c r="F18" s="15">
        <f>IF(E18&gt;0,"Over ⚠️",IF(E18&lt;0,"Under ✅","On Budget"))</f>
        <v/>
      </c>
    </row>
    <row r="19">
      <c r="A19" s="16" t="inlineStr">
        <is>
          <t>Labor</t>
        </is>
      </c>
      <c r="B19" s="17" t="inlineStr">
        <is>
          <t>Tile installer — Floor + backsplash</t>
        </is>
      </c>
      <c r="C19" s="18" t="n">
        <v>1800</v>
      </c>
      <c r="D19" s="18" t="n">
        <v>2100</v>
      </c>
      <c r="E19" s="18">
        <f>D19-C19</f>
        <v/>
      </c>
      <c r="F19" s="19">
        <f>IF(E19&gt;0,"Over ⚠️",IF(E19&lt;0,"Under ✅","On Budget"))</f>
        <v/>
      </c>
    </row>
    <row r="20">
      <c r="A20" s="12" t="inlineStr">
        <is>
          <t>Labor</t>
        </is>
      </c>
      <c r="B20" s="13" t="inlineStr">
        <is>
          <t>Painter — Walls, ceiling, trim</t>
        </is>
      </c>
      <c r="C20" s="14" t="n">
        <v>640</v>
      </c>
      <c r="D20" s="14" t="n">
        <v>640</v>
      </c>
      <c r="E20" s="14">
        <f>D20-C20</f>
        <v/>
      </c>
      <c r="F20" s="15">
        <f>IF(E20&gt;0,"Over ⚠️",IF(E20&lt;0,"Under ✅","On Budget"))</f>
        <v/>
      </c>
    </row>
    <row r="21">
      <c r="A21" s="16" t="inlineStr">
        <is>
          <t>Labor</t>
        </is>
      </c>
      <c r="B21" s="17" t="inlineStr">
        <is>
          <t>Finish carpenter — Trim, hardware</t>
        </is>
      </c>
      <c r="C21" s="18" t="n">
        <v>480</v>
      </c>
      <c r="D21" s="18" t="n">
        <v>520</v>
      </c>
      <c r="E21" s="18">
        <f>D21-C21</f>
        <v/>
      </c>
      <c r="F21" s="19">
        <f>IF(E21&gt;0,"Over ⚠️",IF(E21&lt;0,"Under ✅","On Budget"))</f>
        <v/>
      </c>
    </row>
    <row r="22">
      <c r="A22" s="12" t="inlineStr">
        <is>
          <t>Equipment</t>
        </is>
      </c>
      <c r="B22" s="13" t="inlineStr">
        <is>
          <t>Tile saw rental (1 week)</t>
        </is>
      </c>
      <c r="C22" s="14" t="n">
        <v>150</v>
      </c>
      <c r="D22" s="14" t="n">
        <v>150</v>
      </c>
      <c r="E22" s="14">
        <f>D22-C22</f>
        <v/>
      </c>
      <c r="F22" s="15">
        <f>IF(E22&gt;0,"Over ⚠️",IF(E22&lt;0,"Under ✅","On Budget"))</f>
        <v/>
      </c>
    </row>
    <row r="23">
      <c r="A23" s="16" t="inlineStr">
        <is>
          <t>Equipment</t>
        </is>
      </c>
      <c r="B23" s="17" t="inlineStr">
        <is>
          <t>Dumpster rental (20 yd)</t>
        </is>
      </c>
      <c r="C23" s="18" t="n">
        <v>375</v>
      </c>
      <c r="D23" s="18" t="n">
        <v>375</v>
      </c>
      <c r="E23" s="18">
        <f>D23-C23</f>
        <v/>
      </c>
      <c r="F23" s="19">
        <f>IF(E23&gt;0,"Over ⚠️",IF(E23&lt;0,"Under ✅","On Budget"))</f>
        <v/>
      </c>
    </row>
    <row r="24">
      <c r="A24" s="12" t="inlineStr">
        <is>
          <t>Permits</t>
        </is>
      </c>
      <c r="B24" s="13" t="inlineStr">
        <is>
          <t>Building permit — City of Springfield</t>
        </is>
      </c>
      <c r="C24" s="14" t="n">
        <v>250</v>
      </c>
      <c r="D24" s="14" t="n">
        <v>250</v>
      </c>
      <c r="E24" s="14">
        <f>D24-C24</f>
        <v/>
      </c>
      <c r="F24" s="15">
        <f>IF(E24&gt;0,"Over ⚠️",IF(E24&lt;0,"Under ✅","On Budget"))</f>
        <v/>
      </c>
    </row>
    <row r="25">
      <c r="A25" s="16" t="inlineStr">
        <is>
          <t>Permits</t>
        </is>
      </c>
      <c r="B25" s="17" t="inlineStr">
        <is>
          <t>Electrical permit</t>
        </is>
      </c>
      <c r="C25" s="18" t="n">
        <v>75</v>
      </c>
      <c r="D25" s="18" t="n">
        <v>75</v>
      </c>
      <c r="E25" s="18">
        <f>D25-C25</f>
        <v/>
      </c>
      <c r="F25" s="19">
        <f>IF(E25&gt;0,"Over ⚠️",IF(E25&lt;0,"Under ✅","On Budget"))</f>
        <v/>
      </c>
    </row>
    <row r="26">
      <c r="A26" s="12" t="inlineStr">
        <is>
          <t>Subcontractors</t>
        </is>
      </c>
      <c r="B26" s="13" t="inlineStr">
        <is>
          <t>HVAC — Relocate duct</t>
        </is>
      </c>
      <c r="C26" s="14" t="n">
        <v>600</v>
      </c>
      <c r="D26" s="14" t="n">
        <v>650</v>
      </c>
      <c r="E26" s="14">
        <f>D26-C26</f>
        <v/>
      </c>
      <c r="F26" s="15">
        <f>IF(E26&gt;0,"Over ⚠️",IF(E26&lt;0,"Under ✅","On Budget"))</f>
        <v/>
      </c>
    </row>
    <row r="27">
      <c r="A27" s="16" t="inlineStr">
        <is>
          <t>Subcontractors</t>
        </is>
      </c>
      <c r="B27" s="17" t="inlineStr">
        <is>
          <t>Drywall repair</t>
        </is>
      </c>
      <c r="C27" s="18" t="n">
        <v>400</v>
      </c>
      <c r="D27" s="18" t="n">
        <v>400</v>
      </c>
      <c r="E27" s="18">
        <f>D27-C27</f>
        <v/>
      </c>
      <c r="F27" s="19">
        <f>IF(E27&gt;0,"Over ⚠️",IF(E27&lt;0,"Under ✅","On Budget"))</f>
        <v/>
      </c>
    </row>
    <row r="28">
      <c r="A28" s="12" t="inlineStr">
        <is>
          <t>Overhead</t>
        </is>
      </c>
      <c r="B28" s="13" t="inlineStr">
        <is>
          <t>Insurance allocation</t>
        </is>
      </c>
      <c r="C28" s="14" t="n">
        <v>320</v>
      </c>
      <c r="D28" s="14" t="n">
        <v>320</v>
      </c>
      <c r="E28" s="14">
        <f>D28-C28</f>
        <v/>
      </c>
      <c r="F28" s="15">
        <f>IF(E28&gt;0,"Over ⚠️",IF(E28&lt;0,"Under ✅","On Budget"))</f>
        <v/>
      </c>
    </row>
    <row r="29">
      <c r="A29" s="16" t="inlineStr">
        <is>
          <t>Overhead</t>
        </is>
      </c>
      <c r="B29" s="17" t="inlineStr">
        <is>
          <t>Vehicle/fuel</t>
        </is>
      </c>
      <c r="C29" s="18" t="n">
        <v>180</v>
      </c>
      <c r="D29" s="18" t="n">
        <v>200</v>
      </c>
      <c r="E29" s="18">
        <f>D29-C29</f>
        <v/>
      </c>
      <c r="F29" s="19">
        <f>IF(E29&gt;0,"Over ⚠️",IF(E29&lt;0,"Under ✅","On Budget"))</f>
        <v/>
      </c>
    </row>
    <row r="30">
      <c r="A30" s="12" t="inlineStr">
        <is>
          <t>Overhead</t>
        </is>
      </c>
      <c r="B30" s="13" t="inlineStr">
        <is>
          <t>Office/admin time</t>
        </is>
      </c>
      <c r="C30" s="14" t="n">
        <v>150</v>
      </c>
      <c r="D30" s="14" t="n">
        <v>150</v>
      </c>
      <c r="E30" s="14">
        <f>D30-C30</f>
        <v/>
      </c>
      <c r="F30" s="15">
        <f>IF(E30&gt;0,"Over ⚠️",IF(E30&lt;0,"Under ✅","On Budget"))</f>
        <v/>
      </c>
    </row>
    <row r="32">
      <c r="B32" s="20" t="inlineStr">
        <is>
          <t>TOTALS</t>
        </is>
      </c>
      <c r="C32" s="8">
        <f>SUM(C8:C30)</f>
        <v/>
      </c>
      <c r="D32" s="8">
        <f>SUM(D8:D30)</f>
        <v/>
      </c>
      <c r="E32" s="21">
        <f>D32-C32</f>
        <v/>
      </c>
    </row>
    <row r="34">
      <c r="A34" s="22" t="inlineStr">
        <is>
          <t>PROFIT ANALYSIS</t>
        </is>
      </c>
    </row>
    <row r="35">
      <c r="A35" s="6" t="inlineStr">
        <is>
          <t>Contract Price:</t>
        </is>
      </c>
      <c r="B35" s="8" t="n">
        <v>22500</v>
      </c>
    </row>
    <row r="36">
      <c r="A36" s="6" t="inlineStr">
        <is>
          <t>Total Costs:</t>
        </is>
      </c>
      <c r="B36" s="9">
        <f>D32</f>
        <v/>
      </c>
    </row>
    <row r="37">
      <c r="A37" s="23" t="inlineStr">
        <is>
          <t>NET PROFIT:</t>
        </is>
      </c>
      <c r="B37" s="24">
        <f>B35-B36</f>
        <v/>
      </c>
    </row>
    <row r="38">
      <c r="A38" s="6" t="inlineStr">
        <is>
          <t>Profit Margin:</t>
        </is>
      </c>
      <c r="B38" s="25">
        <f>B37/B35</f>
        <v/>
      </c>
    </row>
  </sheetData>
  <mergeCells count="1">
    <mergeCell ref="A1:F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