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Cost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name val="Calibri"/>
      <b val="1"/>
      <color rgb="00333333"/>
      <sz val="11"/>
    </font>
    <font>
      <name val="Calibri"/>
      <b val="1"/>
      <color rgb="00FFFFFF"/>
      <sz val="11"/>
    </font>
    <font>
      <name val="Calibri"/>
      <sz val="11"/>
    </font>
    <font>
      <b val="1"/>
      <sz val="12"/>
    </font>
    <font>
      <b val="1"/>
      <color rgb="00DC2626"/>
      <sz val="12"/>
    </font>
    <font>
      <b val="1"/>
      <color rgb="00F97316"/>
      <sz val="13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JOB COSTING TRACKER</t>
        </is>
      </c>
    </row>
    <row r="3">
      <c r="A3" s="2" t="inlineStr">
        <is>
          <t>Job Name:</t>
        </is>
      </c>
      <c r="B3" t="inlineStr">
        <is>
          <t>Miller Kitchen &amp; Bath Remodel</t>
        </is>
      </c>
    </row>
    <row r="4">
      <c r="A4" s="2" t="inlineStr">
        <is>
          <t>Client:</t>
        </is>
      </c>
      <c r="B4" t="inlineStr">
        <is>
          <t>David &amp; Karen Miller</t>
        </is>
      </c>
    </row>
    <row r="5">
      <c r="A5" s="2" t="inlineStr">
        <is>
          <t>Start Date:</t>
        </is>
      </c>
      <c r="B5" t="inlineStr">
        <is>
          <t>02/15/2026</t>
        </is>
      </c>
    </row>
    <row r="6">
      <c r="A6" s="2" t="inlineStr">
        <is>
          <t>Estimated Total:</t>
        </is>
      </c>
      <c r="B6" s="3" t="n">
        <v>28500</v>
      </c>
    </row>
    <row r="8">
      <c r="A8" s="4" t="inlineStr">
        <is>
          <t>Category</t>
        </is>
      </c>
      <c r="B8" s="4" t="inlineStr">
        <is>
          <t>Description</t>
        </is>
      </c>
      <c r="C8" s="4" t="inlineStr">
        <is>
          <t>Estimated Cost</t>
        </is>
      </c>
      <c r="D8" s="4" t="inlineStr">
        <is>
          <t>Actual Cost</t>
        </is>
      </c>
      <c r="E8" s="4" t="inlineStr">
        <is>
          <t>Variance</t>
        </is>
      </c>
    </row>
    <row r="9">
      <c r="A9" s="5" t="inlineStr">
        <is>
          <t>Materials</t>
        </is>
      </c>
      <c r="B9" s="5" t="inlineStr">
        <is>
          <t>Cabinets - KraftMaid 12 linear ft</t>
        </is>
      </c>
      <c r="C9" s="6" t="n">
        <v>4200</v>
      </c>
      <c r="D9" s="6" t="n">
        <v>4350</v>
      </c>
      <c r="E9" s="6">
        <f>D9-C9</f>
        <v/>
      </c>
    </row>
    <row r="10">
      <c r="A10" s="7" t="inlineStr">
        <is>
          <t>Materials</t>
        </is>
      </c>
      <c r="B10" s="7" t="inlineStr">
        <is>
          <t>Quartz countertops - Caesarstone</t>
        </is>
      </c>
      <c r="C10" s="8" t="n">
        <v>3200</v>
      </c>
      <c r="D10" s="8" t="n">
        <v>3400</v>
      </c>
      <c r="E10" s="8">
        <f>D10-C10</f>
        <v/>
      </c>
    </row>
    <row r="11">
      <c r="A11" s="5" t="inlineStr">
        <is>
          <t>Materials</t>
        </is>
      </c>
      <c r="B11" s="5" t="inlineStr">
        <is>
          <t>Floor tile - porcelain 200 sq ft</t>
        </is>
      </c>
      <c r="C11" s="6" t="n">
        <v>900</v>
      </c>
      <c r="D11" s="6" t="n">
        <v>880</v>
      </c>
      <c r="E11" s="6">
        <f>D11-C11</f>
        <v/>
      </c>
    </row>
    <row r="12">
      <c r="A12" s="7" t="inlineStr">
        <is>
          <t>Materials</t>
        </is>
      </c>
      <c r="B12" s="7" t="inlineStr">
        <is>
          <t>Plumbing fixtures (faucets, sinks)</t>
        </is>
      </c>
      <c r="C12" s="8" t="n">
        <v>650</v>
      </c>
      <c r="D12" s="8" t="n">
        <v>720</v>
      </c>
      <c r="E12" s="8">
        <f>D12-C12</f>
        <v/>
      </c>
    </row>
    <row r="13">
      <c r="A13" s="5" t="inlineStr">
        <is>
          <t>Materials</t>
        </is>
      </c>
      <c r="B13" s="5" t="inlineStr">
        <is>
          <t>Electrical supplies &amp; lighting</t>
        </is>
      </c>
      <c r="C13" s="6" t="n">
        <v>480</v>
      </c>
      <c r="D13" s="6" t="n">
        <v>510</v>
      </c>
      <c r="E13" s="6">
        <f>D13-C13</f>
        <v/>
      </c>
    </row>
    <row r="14">
      <c r="A14" s="7" t="inlineStr">
        <is>
          <t>Materials</t>
        </is>
      </c>
      <c r="B14" s="7" t="inlineStr">
        <is>
          <t>Paint, primer, caulk, supplies</t>
        </is>
      </c>
      <c r="C14" s="8" t="n">
        <v>320</v>
      </c>
      <c r="D14" s="8" t="n">
        <v>295</v>
      </c>
      <c r="E14" s="8">
        <f>D14-C14</f>
        <v/>
      </c>
    </row>
    <row r="15">
      <c r="A15" s="5" t="inlineStr">
        <is>
          <t>Materials</t>
        </is>
      </c>
      <c r="B15" s="5" t="inlineStr">
        <is>
          <t>Shower door - frameless glass</t>
        </is>
      </c>
      <c r="C15" s="6" t="n">
        <v>1100</v>
      </c>
      <c r="D15" s="6" t="n">
        <v>1100</v>
      </c>
      <c r="E15" s="6">
        <f>D15-C15</f>
        <v/>
      </c>
    </row>
    <row r="16">
      <c r="A16" s="7" t="inlineStr">
        <is>
          <t>Labor</t>
        </is>
      </c>
      <c r="B16" s="7" t="inlineStr">
        <is>
          <t>Demo crew - 2 days</t>
        </is>
      </c>
      <c r="C16" s="8" t="n">
        <v>1200</v>
      </c>
      <c r="D16" s="8" t="n">
        <v>1200</v>
      </c>
      <c r="E16" s="8">
        <f>D16-C16</f>
        <v/>
      </c>
    </row>
    <row r="17">
      <c r="A17" s="5" t="inlineStr">
        <is>
          <t>Labor</t>
        </is>
      </c>
      <c r="B17" s="5" t="inlineStr">
        <is>
          <t>Lead carpenter - 80 hrs</t>
        </is>
      </c>
      <c r="C17" s="6" t="n">
        <v>4800</v>
      </c>
      <c r="D17" s="6" t="n">
        <v>5200</v>
      </c>
      <c r="E17" s="6">
        <f>D17-C17</f>
        <v/>
      </c>
    </row>
    <row r="18">
      <c r="A18" s="7" t="inlineStr">
        <is>
          <t>Labor</t>
        </is>
      </c>
      <c r="B18" s="7" t="inlineStr">
        <is>
          <t>Tile installer - 32 hrs</t>
        </is>
      </c>
      <c r="C18" s="8" t="n">
        <v>2240</v>
      </c>
      <c r="D18" s="8" t="n">
        <v>2240</v>
      </c>
      <c r="E18" s="8">
        <f>D18-C18</f>
        <v/>
      </c>
    </row>
    <row r="19">
      <c r="A19" s="5" t="inlineStr">
        <is>
          <t>Labor</t>
        </is>
      </c>
      <c r="B19" s="5" t="inlineStr">
        <is>
          <t>Plumber - rough-in + finals</t>
        </is>
      </c>
      <c r="C19" s="6" t="n">
        <v>1800</v>
      </c>
      <c r="D19" s="6" t="n">
        <v>2100</v>
      </c>
      <c r="E19" s="6">
        <f>D19-C19</f>
        <v/>
      </c>
    </row>
    <row r="20">
      <c r="A20" s="7" t="inlineStr">
        <is>
          <t>Labor</t>
        </is>
      </c>
      <c r="B20" s="7" t="inlineStr">
        <is>
          <t>Electrician - rough-in + finals</t>
        </is>
      </c>
      <c r="C20" s="8" t="n">
        <v>1200</v>
      </c>
      <c r="D20" s="8" t="n">
        <v>1200</v>
      </c>
      <c r="E20" s="8">
        <f>D20-C20</f>
        <v/>
      </c>
    </row>
    <row r="21">
      <c r="A21" s="5" t="inlineStr">
        <is>
          <t>Labor</t>
        </is>
      </c>
      <c r="B21" s="5" t="inlineStr">
        <is>
          <t>Painter - 16 hrs</t>
        </is>
      </c>
      <c r="C21" s="6" t="n">
        <v>880</v>
      </c>
      <c r="D21" s="6" t="n">
        <v>880</v>
      </c>
      <c r="E21" s="6">
        <f>D21-C21</f>
        <v/>
      </c>
    </row>
    <row r="22">
      <c r="A22" s="7" t="inlineStr">
        <is>
          <t>Equipment Rental</t>
        </is>
      </c>
      <c r="B22" s="7" t="inlineStr">
        <is>
          <t>Dumpster rental (20 yd)</t>
        </is>
      </c>
      <c r="C22" s="8" t="n">
        <v>450</v>
      </c>
      <c r="D22" s="8" t="n">
        <v>450</v>
      </c>
      <c r="E22" s="8">
        <f>D22-C22</f>
        <v/>
      </c>
    </row>
    <row r="23">
      <c r="A23" s="5" t="inlineStr">
        <is>
          <t>Equipment Rental</t>
        </is>
      </c>
      <c r="B23" s="5" t="inlineStr">
        <is>
          <t>Tile saw rental - 1 week</t>
        </is>
      </c>
      <c r="C23" s="6" t="n">
        <v>175</v>
      </c>
      <c r="D23" s="6" t="n">
        <v>175</v>
      </c>
      <c r="E23" s="6">
        <f>D23-C23</f>
        <v/>
      </c>
    </row>
    <row r="24">
      <c r="A24" s="7" t="inlineStr">
        <is>
          <t>Permits</t>
        </is>
      </c>
      <c r="B24" s="7" t="inlineStr">
        <is>
          <t>Building permit</t>
        </is>
      </c>
      <c r="C24" s="8" t="n">
        <v>350</v>
      </c>
      <c r="D24" s="8" t="n">
        <v>350</v>
      </c>
      <c r="E24" s="8">
        <f>D24-C24</f>
        <v/>
      </c>
    </row>
    <row r="25">
      <c r="A25" s="5" t="inlineStr">
        <is>
          <t>Permits</t>
        </is>
      </c>
      <c r="B25" s="5" t="inlineStr">
        <is>
          <t>Plumbing permit</t>
        </is>
      </c>
      <c r="C25" s="6" t="n">
        <v>150</v>
      </c>
      <c r="D25" s="6" t="n">
        <v>150</v>
      </c>
      <c r="E25" s="6">
        <f>D25-C25</f>
        <v/>
      </c>
    </row>
    <row r="26">
      <c r="A26" s="7" t="inlineStr">
        <is>
          <t>Subcontractors</t>
        </is>
      </c>
      <c r="B26" s="7" t="inlineStr">
        <is>
          <t>HVAC duct modification</t>
        </is>
      </c>
      <c r="C26" s="8" t="n">
        <v>800</v>
      </c>
      <c r="D26" s="8" t="n">
        <v>950</v>
      </c>
      <c r="E26" s="8">
        <f>D26-C26</f>
        <v/>
      </c>
    </row>
    <row r="27">
      <c r="A27" s="5" t="inlineStr">
        <is>
          <t>Subcontractors</t>
        </is>
      </c>
      <c r="B27" s="5" t="inlineStr">
        <is>
          <t>Granite fabricator (template + cut)</t>
        </is>
      </c>
      <c r="C27" s="6" t="n">
        <v>600</v>
      </c>
      <c r="D27" s="6" t="n">
        <v>600</v>
      </c>
      <c r="E27" s="6">
        <f>D27-C27</f>
        <v/>
      </c>
    </row>
    <row r="28">
      <c r="A28" s="7" t="inlineStr">
        <is>
          <t>Overhead</t>
        </is>
      </c>
      <c r="B28" s="7" t="inlineStr">
        <is>
          <t>Project management (5%)</t>
        </is>
      </c>
      <c r="C28" s="8" t="n">
        <v>1250</v>
      </c>
      <c r="D28" s="8" t="n">
        <v>1250</v>
      </c>
      <c r="E28" s="8">
        <f>D28-C28</f>
        <v/>
      </c>
    </row>
    <row r="29">
      <c r="A29" s="5" t="inlineStr">
        <is>
          <t>Overhead</t>
        </is>
      </c>
      <c r="B29" s="5" t="inlineStr">
        <is>
          <t>Insurance allocation</t>
        </is>
      </c>
      <c r="C29" s="6" t="n">
        <v>400</v>
      </c>
      <c r="D29" s="6" t="n">
        <v>400</v>
      </c>
      <c r="E29" s="6">
        <f>D29-C29</f>
        <v/>
      </c>
    </row>
    <row r="30">
      <c r="A30" s="7" t="inlineStr">
        <is>
          <t>Overhead</t>
        </is>
      </c>
      <c r="B30" s="7" t="inlineStr">
        <is>
          <t>Vehicle / fuel for job</t>
        </is>
      </c>
      <c r="C30" s="8" t="n">
        <v>280</v>
      </c>
      <c r="D30" s="8" t="n">
        <v>310</v>
      </c>
      <c r="E30" s="8">
        <f>D30-C30</f>
        <v/>
      </c>
    </row>
    <row r="31">
      <c r="A31" s="5" t="inlineStr">
        <is>
          <t>Overhead</t>
        </is>
      </c>
      <c r="B31" s="5" t="inlineStr">
        <is>
          <t>Warranty reserve (2%)</t>
        </is>
      </c>
      <c r="C31" s="6" t="n">
        <v>570</v>
      </c>
      <c r="D31" s="6" t="n">
        <v>570</v>
      </c>
      <c r="E31" s="6">
        <f>D31-C31</f>
        <v/>
      </c>
    </row>
    <row r="33">
      <c r="B33" s="9" t="inlineStr">
        <is>
          <t>TOTAL ESTIMATED:</t>
        </is>
      </c>
      <c r="C33" s="10">
        <f>SUM(C9:C31)</f>
        <v/>
      </c>
    </row>
    <row r="34">
      <c r="B34" s="9" t="inlineStr">
        <is>
          <t>TOTAL ACTUAL:</t>
        </is>
      </c>
      <c r="D34" s="10">
        <f>SUM(D9:D31)</f>
        <v/>
      </c>
    </row>
    <row r="35">
      <c r="B35" s="11" t="inlineStr">
        <is>
          <t>TOTAL VARIANCE:</t>
        </is>
      </c>
      <c r="E35" s="12">
        <f>SUM(E9:E31)</f>
        <v/>
      </c>
    </row>
    <row r="36">
      <c r="B36" s="9" t="inlineStr">
        <is>
          <t>CONTRACT PRICE:</t>
        </is>
      </c>
      <c r="D36" s="3" t="n">
        <v>28500</v>
      </c>
    </row>
    <row r="37">
      <c r="B37" s="13" t="inlineStr">
        <is>
          <t>PROFIT / (LOSS):</t>
        </is>
      </c>
      <c r="D37" s="14">
        <f>D36-D34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